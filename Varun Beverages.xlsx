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ock data\"/>
    </mc:Choice>
  </mc:AlternateContent>
  <xr:revisionPtr revIDLastSave="0" documentId="13_ncr:1_{C85D74EF-160A-44A4-AB2D-C1CCADD11040}" xr6:coauthVersionLast="47" xr6:coauthVersionMax="47" xr10:uidLastSave="{00000000-0000-0000-0000-000000000000}"/>
  <bookViews>
    <workbookView xWindow="-108" yWindow="-108" windowWidth="23256" windowHeight="12456" activeTab="5" xr2:uid="{DC4468AB-D1B0-41A7-9804-C13850339D52}"/>
  </bookViews>
  <sheets>
    <sheet name="Summary " sheetId="7" r:id="rId1"/>
    <sheet name="Dashboard " sheetId="5" r:id="rId2"/>
    <sheet name="Ratio Analysis" sheetId="6" r:id="rId3"/>
    <sheet name="Assumptions" sheetId="1" r:id="rId4"/>
    <sheet name="Calculations " sheetId="4" r:id="rId5"/>
    <sheet name="Raw Data " sheetId="2" r:id="rId6"/>
    <sheet name="Data Sheet 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0" i="6" l="1"/>
  <c r="E10" i="6"/>
  <c r="C10" i="6"/>
  <c r="C9" i="6"/>
  <c r="D9" i="6"/>
  <c r="E9" i="6"/>
  <c r="C10" i="4"/>
  <c r="D8" i="2"/>
  <c r="E8" i="2"/>
  <c r="F8" i="2"/>
  <c r="G8" i="2"/>
  <c r="D6" i="2"/>
  <c r="E6" i="2"/>
  <c r="F6" i="2"/>
  <c r="G6" i="2"/>
  <c r="C8" i="2"/>
  <c r="C6" i="2"/>
  <c r="D5" i="6"/>
  <c r="E5" i="6"/>
  <c r="C5" i="6"/>
  <c r="D3" i="6"/>
  <c r="E3" i="6" s="1"/>
  <c r="F3" i="6" s="1"/>
  <c r="G3" i="6" s="1"/>
  <c r="H3" i="6" s="1"/>
  <c r="D2" i="4"/>
  <c r="E2" i="4" s="1"/>
  <c r="C9" i="4"/>
  <c r="D9" i="2"/>
  <c r="E9" i="2"/>
  <c r="C7" i="6" s="1"/>
  <c r="F9" i="2"/>
  <c r="D7" i="6" s="1"/>
  <c r="G9" i="2"/>
  <c r="E7" i="6" s="1"/>
  <c r="C5" i="4"/>
  <c r="D5" i="4" s="1"/>
  <c r="E5" i="4" s="1"/>
  <c r="C4" i="4"/>
  <c r="D4" i="4" s="1"/>
  <c r="D9" i="4" s="1"/>
  <c r="D10" i="2"/>
  <c r="E10" i="2"/>
  <c r="F10" i="2"/>
  <c r="G10" i="2"/>
  <c r="C10" i="2"/>
  <c r="D7" i="2"/>
  <c r="E7" i="2"/>
  <c r="F7" i="2"/>
  <c r="G7" i="2"/>
  <c r="C7" i="2"/>
  <c r="D5" i="2"/>
  <c r="E5" i="2"/>
  <c r="F5" i="2"/>
  <c r="F4" i="2" s="1"/>
  <c r="G5" i="2"/>
  <c r="G4" i="2" s="1"/>
  <c r="C5" i="2"/>
  <c r="C4" i="2" s="1"/>
  <c r="B6" i="3"/>
  <c r="E1" i="3"/>
  <c r="C6" i="6" l="1"/>
  <c r="C8" i="6" s="1"/>
  <c r="E6" i="6"/>
  <c r="E8" i="6" s="1"/>
  <c r="D6" i="6"/>
  <c r="D8" i="6" s="1"/>
  <c r="C9" i="2"/>
  <c r="D10" i="4"/>
  <c r="D11" i="4" s="1"/>
  <c r="C11" i="4"/>
  <c r="D6" i="4"/>
  <c r="E4" i="4"/>
  <c r="C6" i="4"/>
  <c r="E4" i="2"/>
  <c r="D4" i="2"/>
  <c r="F5" i="6" l="1"/>
  <c r="C14" i="4"/>
  <c r="C16" i="4"/>
  <c r="C15" i="4"/>
  <c r="E6" i="4"/>
  <c r="E9" i="4"/>
  <c r="D16" i="4"/>
  <c r="D14" i="4"/>
  <c r="D15" i="4"/>
  <c r="D17" i="4" s="1"/>
  <c r="G5" i="6"/>
  <c r="E10" i="4"/>
  <c r="D18" i="4" l="1"/>
  <c r="G7" i="6"/>
  <c r="E15" i="4"/>
  <c r="E16" i="4"/>
  <c r="E14" i="4"/>
  <c r="H5" i="6"/>
  <c r="E17" i="4"/>
  <c r="E11" i="4"/>
  <c r="C17" i="4"/>
  <c r="C18" i="4" l="1"/>
  <c r="F6" i="6"/>
  <c r="F8" i="6" s="1"/>
  <c r="F7" i="6"/>
  <c r="G6" i="6"/>
  <c r="G8" i="6" s="1"/>
  <c r="H6" i="6"/>
  <c r="H8" i="6" s="1"/>
  <c r="E18" i="4"/>
  <c r="H7" i="6"/>
  <c r="D2" i="2" l="1"/>
  <c r="E2" i="2" s="1"/>
  <c r="F2" i="2" s="1"/>
  <c r="G2" i="2" s="1"/>
</calcChain>
</file>

<file path=xl/sharedStrings.xml><?xml version="1.0" encoding="utf-8"?>
<sst xmlns="http://schemas.openxmlformats.org/spreadsheetml/2006/main" count="129" uniqueCount="106">
  <si>
    <t>Revenue Drivers (Operational Inputs)</t>
  </si>
  <si>
    <t>Assumption Metric</t>
  </si>
  <si>
    <t>Base Case Value</t>
  </si>
  <si>
    <t xml:space="preserve">Notes </t>
  </si>
  <si>
    <t>Volume Growth Rate (% YoY)</t>
  </si>
  <si>
    <t>Net Realization Growth (% YoY</t>
  </si>
  <si>
    <t>Driven by rural expansion and international additions (e.g., South Africa/DRC).</t>
  </si>
  <si>
    <t xml:space="preserve">Driven by price adjustments and mix shift to higher-realization SKUs </t>
  </si>
  <si>
    <t>Expense Drivers (% of Operational Revenue)</t>
  </si>
  <si>
    <t xml:space="preserve">Cogs/Raw Material Margin </t>
  </si>
  <si>
    <t>Employee Costs</t>
  </si>
  <si>
    <t xml:space="preserve">Other Operating Expense </t>
  </si>
  <si>
    <t xml:space="preserve">Effective Tax Rate </t>
  </si>
  <si>
    <t>Represents sugar, PET bottle resin, and packaging materials</t>
  </si>
  <si>
    <t>Historical baseline for factory and distribution workforce.</t>
  </si>
  <si>
    <t>Freight, logistics, power, fuel, and marketing expenses.</t>
  </si>
  <si>
    <t>Standard Corporate Tax Rate in India.</t>
  </si>
  <si>
    <t>Sales Volume (Million Cases)</t>
  </si>
  <si>
    <t>Net Realization per Case (₹)</t>
  </si>
  <si>
    <t>Revenue from Operations</t>
  </si>
  <si>
    <t>Raw Material / COGS</t>
  </si>
  <si>
    <t>Employee Cost</t>
  </si>
  <si>
    <t>Other Operating Expenses</t>
  </si>
  <si>
    <t>Operating Profit (EBITDA)</t>
  </si>
  <si>
    <t>Net Income (PAT)</t>
  </si>
  <si>
    <t xml:space="preserve">Particulars </t>
  </si>
  <si>
    <t>COMPANY NAME</t>
  </si>
  <si>
    <t>VARUN BEVERAGES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</si>
  <si>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</si>
  <si>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</si>
  <si>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</si>
  <si>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</si>
  <si>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</si>
  <si>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</si>
  <si>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</si>
  <si>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</si>
  <si>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</si>
  <si>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</si>
  <si>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Sales</t>
  </si>
  <si>
    <t>Raw Material Cost</t>
  </si>
  <si>
    <t>Change in Inventory</t>
  </si>
  <si>
    <t>Power and Fuel</t>
  </si>
  <si>
    <t>Other Mfr. Exp</t>
  </si>
  <si>
    <t>Selling and admin</t>
  </si>
  <si>
    <t>Other Expenses</t>
  </si>
  <si>
    <t>Other Income</t>
  </si>
  <si>
    <t>Depreciation</t>
  </si>
  <si>
    <t>Interest</t>
  </si>
  <si>
    <t>Profit before tax</t>
  </si>
  <si>
    <t>Tax</t>
  </si>
  <si>
    <t>Net profit</t>
  </si>
  <si>
    <t>Dividend Amount</t>
  </si>
  <si>
    <t>Quarters</t>
  </si>
  <si>
    <t>Expenses</t>
  </si>
  <si>
    <t>Operating Profit</t>
  </si>
  <si>
    <t>BALANCE SHEET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</si>
  <si>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</si>
  <si>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</si>
  <si>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</si>
  <si>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</si>
  <si>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</si>
  <si>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</si>
  <si>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</si>
  <si>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</si>
  <si>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</si>
  <si>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Receivables</t>
  </si>
  <si>
    <t>Inventory</t>
  </si>
  <si>
    <t>Cash &amp; Bank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</si>
  <si>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</si>
  <si>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</si>
  <si>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</si>
  <si>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</si>
  <si>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</si>
  <si>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</si>
  <si>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</si>
  <si>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Net Cash Flow</t>
  </si>
  <si>
    <t>PRICE:</t>
  </si>
  <si>
    <t>DERIVED:</t>
  </si>
  <si>
    <t>Adjusted Equity Shares in Cr</t>
  </si>
  <si>
    <t>Section A: Revenue Drivers &amp; Forecast</t>
  </si>
  <si>
    <t>Forecasted Sales Volume (Mn Cases):</t>
  </si>
  <si>
    <t>Forecasted Realization per Case (₹):</t>
  </si>
  <si>
    <t>Forecasted Total Revenue (₹ Crores):</t>
  </si>
  <si>
    <t>Section B: Price vs. Volume Variance Analysis</t>
  </si>
  <si>
    <t>Section C: Expense Forecasting &amp; EBITDA Calculation.</t>
  </si>
  <si>
    <t>Forecasted COGS (Raw Materials):</t>
  </si>
  <si>
    <t>Forecasted Employee Costs:</t>
  </si>
  <si>
    <t>Forecasted Other Operating Expenses:</t>
  </si>
  <si>
    <t>Forecasted EBITDA (Operating Profit):</t>
  </si>
  <si>
    <t>EBITDA Margin %</t>
  </si>
  <si>
    <t xml:space="preserve">Price/Realization Variance </t>
  </si>
  <si>
    <t xml:space="preserve">Volume Variance </t>
  </si>
  <si>
    <t>Total Revenue Variance</t>
  </si>
  <si>
    <t>Historical years</t>
  </si>
  <si>
    <t>Forecasted Years</t>
  </si>
  <si>
    <t>Particulars</t>
  </si>
  <si>
    <t>Revenue Growth (YoY %)</t>
  </si>
  <si>
    <t xml:space="preserve">Operating Leverage </t>
  </si>
  <si>
    <t>EBITDA Margin (%)</t>
  </si>
  <si>
    <t>EBITDA Growth (YoY %)</t>
  </si>
  <si>
    <t xml:space="preserve">Return on Equity </t>
  </si>
  <si>
    <t xml:space="preserve">Debt-to-equity  </t>
  </si>
  <si>
    <t>COGS % test values</t>
  </si>
  <si>
    <t>Volume Growth % test values</t>
  </si>
  <si>
    <t>EBITDA Sensitivity (₹ Cr): Volume Growth vs. COGS %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</si>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</sst>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0.0%"/>
    <numFmt numFmtId="165" formatCode="[$-409]mmm\-yy;@"/>
    <numFmt numFmtId="166" formatCode="_(* #,##0.00_);_(* \(#,##0.00\);_(* &quot;-&quot;??_);_(@_)"/>
    <numFmt numFmtId="167" formatCode="&quot;₹&quot;\ #,##0.00"/>
  </numFmts>
  <fonts count="16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2"/>
      <color theme="1"/>
      <name val="Times New Roman"/>
      <family val="1"/>
    </font>
    <font>
      <sz val="12"/>
      <color theme="3" tint="0.499984740745262"/>
      <name val="Times New Roman"/>
      <family val="1"/>
    </font>
    <font>
      <b/>
      <sz val="11"/>
      <color theme="0"/>
      <name val="Aptos Narrow"/>
      <family val="2"/>
      <scheme val="minor"/>
    </font>
    <font>
      <u/>
      <sz val="11"/>
      <color theme="10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Times New Roman"/>
      <family val="1"/>
    </font>
    <font>
      <sz val="12"/>
      <color theme="4" tint="0.39997558519241921"/>
      <name val="Times New Roman"/>
      <family val="1"/>
    </font>
    <font>
      <sz val="8"/>
      <name val="Calibri"/>
      <family val="2"/>
    </font>
    <font>
      <b/>
      <sz val="12"/>
      <color theme="1"/>
      <name val="Times New Roman"/>
      <family val="1"/>
    </font>
    <font>
      <sz val="12"/>
      <name val="Times New Roman"/>
      <family val="1"/>
    </font>
    <font>
      <b/>
      <sz val="12"/>
      <color theme="3" tint="0.49998474074526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3" tint="0.74999237037263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6" fillId="0" borderId="0" applyNumberFormat="0" applyFill="0" applyBorder="0" applyAlignment="0" applyProtection="0"/>
  </cellStyleXfs>
  <cellXfs count="57">
    <xf numFmtId="0" fontId="0" fillId="0" borderId="0" xfId="0"/>
    <xf numFmtId="0" fontId="3" fillId="0" borderId="0" xfId="0" applyFont="1"/>
    <xf numFmtId="164" fontId="4" fillId="0" borderId="0" xfId="0" applyNumberFormat="1" applyFont="1"/>
    <xf numFmtId="9" fontId="4" fillId="0" borderId="0" xfId="0" applyNumberFormat="1" applyFont="1"/>
    <xf numFmtId="165" fontId="5" fillId="3" borderId="0" xfId="0" applyNumberFormat="1" applyFont="1" applyFill="1" applyAlignment="1">
      <alignment horizontal="center"/>
    </xf>
    <xf numFmtId="43" fontId="8" fillId="0" borderId="0" xfId="1" applyFont="1" applyBorder="1"/>
    <xf numFmtId="43" fontId="0" fillId="0" borderId="0" xfId="1" applyFont="1" applyBorder="1"/>
    <xf numFmtId="165" fontId="5" fillId="3" borderId="0" xfId="1" applyNumberFormat="1" applyFont="1" applyFill="1" applyBorder="1"/>
    <xf numFmtId="165" fontId="9" fillId="0" borderId="0" xfId="1" applyNumberFormat="1" applyFont="1" applyFill="1" applyBorder="1"/>
    <xf numFmtId="43" fontId="7" fillId="0" borderId="0" xfId="1" applyFont="1" applyBorder="1"/>
    <xf numFmtId="166" fontId="0" fillId="0" borderId="0" xfId="1" applyNumberFormat="1" applyFont="1" applyBorder="1"/>
    <xf numFmtId="2" fontId="3" fillId="0" borderId="0" xfId="0" applyNumberFormat="1" applyFont="1"/>
    <xf numFmtId="0" fontId="13" fillId="4" borderId="1" xfId="0" applyFont="1" applyFill="1" applyBorder="1"/>
    <xf numFmtId="165" fontId="10" fillId="4" borderId="1" xfId="0" applyNumberFormat="1" applyFont="1" applyFill="1" applyBorder="1" applyAlignment="1">
      <alignment horizontal="center"/>
    </xf>
    <xf numFmtId="0" fontId="3" fillId="0" borderId="1" xfId="0" applyFont="1" applyBorder="1"/>
    <xf numFmtId="0" fontId="11" fillId="0" borderId="1" xfId="0" applyFont="1" applyBorder="1"/>
    <xf numFmtId="167" fontId="3" fillId="0" borderId="1" xfId="0" applyNumberFormat="1" applyFont="1" applyBorder="1"/>
    <xf numFmtId="0" fontId="13" fillId="4" borderId="0" xfId="0" applyFont="1" applyFill="1"/>
    <xf numFmtId="0" fontId="3" fillId="4" borderId="0" xfId="0" applyFont="1" applyFill="1"/>
    <xf numFmtId="167" fontId="3" fillId="0" borderId="0" xfId="0" applyNumberFormat="1" applyFont="1"/>
    <xf numFmtId="0" fontId="13" fillId="4" borderId="2" xfId="0" applyFont="1" applyFill="1" applyBorder="1"/>
    <xf numFmtId="0" fontId="3" fillId="4" borderId="2" xfId="0" applyFont="1" applyFill="1" applyBorder="1"/>
    <xf numFmtId="0" fontId="3" fillId="0" borderId="3" xfId="0" applyFont="1" applyBorder="1"/>
    <xf numFmtId="9" fontId="3" fillId="0" borderId="3" xfId="2" applyFont="1" applyBorder="1"/>
    <xf numFmtId="9" fontId="3" fillId="0" borderId="0" xfId="2" applyFont="1" applyBorder="1"/>
    <xf numFmtId="9" fontId="3" fillId="0" borderId="0" xfId="2" applyFont="1"/>
    <xf numFmtId="2" fontId="3" fillId="0" borderId="0" xfId="2" applyNumberFormat="1" applyFont="1" applyBorder="1"/>
    <xf numFmtId="0" fontId="0" fillId="0" borderId="0" xfId="0" applyAlignment="1">
      <alignment wrapText="1"/>
    </xf>
    <xf numFmtId="2" fontId="14" fillId="4" borderId="1" xfId="0" applyNumberFormat="1" applyFont="1" applyFill="1" applyBorder="1"/>
    <xf numFmtId="2" fontId="3" fillId="0" borderId="1" xfId="0" applyNumberFormat="1" applyFont="1" applyBorder="1"/>
    <xf numFmtId="9" fontId="15" fillId="0" borderId="1" xfId="2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9" fontId="3" fillId="0" borderId="2" xfId="2" applyFont="1" applyBorder="1"/>
    <xf numFmtId="0" fontId="3" fillId="0" borderId="2" xfId="0" applyFont="1" applyBorder="1" applyAlignment="1">
      <alignment horizontal="center"/>
    </xf>
    <xf numFmtId="165" fontId="10" fillId="4" borderId="5" xfId="0" applyNumberFormat="1" applyFont="1" applyFill="1" applyBorder="1" applyAlignment="1">
      <alignment horizont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13" fillId="4" borderId="8" xfId="0" applyFont="1" applyFill="1" applyBorder="1" applyAlignment="1">
      <alignment horizontal="center"/>
    </xf>
    <xf numFmtId="0" fontId="13" fillId="4" borderId="9" xfId="0" applyFont="1" applyFill="1" applyBorder="1" applyAlignment="1">
      <alignment horizontal="center"/>
    </xf>
    <xf numFmtId="0" fontId="13" fillId="4" borderId="4" xfId="0" applyFont="1" applyFill="1" applyBorder="1"/>
    <xf numFmtId="165" fontId="10" fillId="4" borderId="4" xfId="0" applyNumberFormat="1" applyFont="1" applyFill="1" applyBorder="1" applyAlignment="1">
      <alignment horizontal="center"/>
    </xf>
    <xf numFmtId="9" fontId="4" fillId="0" borderId="0" xfId="2" applyFont="1" applyBorder="1" applyAlignment="1">
      <alignment horizontal="right"/>
    </xf>
    <xf numFmtId="9" fontId="4" fillId="0" borderId="0" xfId="0" applyNumberFormat="1" applyFont="1" applyAlignment="1">
      <alignment horizontal="right"/>
    </xf>
    <xf numFmtId="9" fontId="4" fillId="0" borderId="5" xfId="0" applyNumberFormat="1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0" fontId="13" fillId="4" borderId="5" xfId="0" applyFont="1" applyFill="1" applyBorder="1" applyAlignment="1">
      <alignment horizontal="center"/>
    </xf>
    <xf numFmtId="0" fontId="13" fillId="4" borderId="8" xfId="0" applyFont="1" applyFill="1" applyBorder="1" applyAlignment="1">
      <alignment horizontal="center"/>
    </xf>
    <xf numFmtId="0" fontId="13" fillId="4" borderId="0" xfId="0" applyFont="1" applyFill="1" applyAlignment="1">
      <alignment horizontal="center"/>
    </xf>
    <xf numFmtId="0" fontId="13" fillId="4" borderId="9" xfId="0" applyFont="1" applyFill="1" applyBorder="1" applyAlignment="1">
      <alignment horizontal="center"/>
    </xf>
    <xf numFmtId="0" fontId="13" fillId="4" borderId="6" xfId="0" applyFont="1" applyFill="1" applyBorder="1" applyAlignment="1">
      <alignment horizontal="center"/>
    </xf>
    <xf numFmtId="0" fontId="13" fillId="4" borderId="7" xfId="0" applyFont="1" applyFill="1" applyBorder="1" applyAlignment="1">
      <alignment horizontal="center"/>
    </xf>
    <xf numFmtId="43" fontId="6" fillId="0" borderId="0" xfId="4" applyNumberFormat="1" applyBorder="1" applyAlignment="1" applyProtection="1">
      <alignment horizontal="center"/>
    </xf>
    <xf numFmtId="43" fontId="5" fillId="2" borderId="0" xfId="3" applyNumberFormat="1" applyFont="1" applyBorder="1" applyAlignment="1">
      <alignment horizontal="center"/>
    </xf>
  </cellXfs>
  <cellStyles count="5">
    <cellStyle name="Accent6" xfId="3" builtinId="49"/>
    <cellStyle name="Comma" xfId="1" builtinId="3"/>
    <cellStyle name="Hyperlink" xfId="4" builtinId="8"/>
    <cellStyle name="Normal" xfId="0" builtinId="0"/>
    <cellStyle name="Percent" xfId="2" builtinId="5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cap="all" spc="0" baseline="0">
                <a:gradFill>
                  <a:gsLst>
                    <a:gs pos="0">
                      <a:schemeClr val="dk1">
                        <a:lumMod val="50000"/>
                        <a:lumOff val="50000"/>
                      </a:schemeClr>
                    </a:gs>
                    <a:gs pos="100000">
                      <a:schemeClr val="dk1">
                        <a:lumMod val="85000"/>
                        <a:lumOff val="15000"/>
                      </a:schemeClr>
                    </a:gs>
                  </a:gsLst>
                  <a:lin ang="5400000" scaled="0"/>
                </a:gradFill>
                <a:latin typeface="+mn-lt"/>
                <a:ea typeface="+mn-ea"/>
                <a:cs typeface="+mn-cs"/>
              </a:defRPr>
            </a:pPr>
            <a:r>
              <a:rPr lang="en-IN" sz="1440" b="1" i="0" u="none" strike="noStrike" cap="all" baseline="0"/>
              <a:t>Revenue vs. EBITDA Growth (CY26-CY28)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cked"/>
        <c:varyColors val="0"/>
        <c:ser>
          <c:idx val="3"/>
          <c:order val="0"/>
          <c:tx>
            <c:strRef>
              <c:f>'Calculations '!$B$6</c:f>
              <c:strCache>
                <c:ptCount val="1"/>
                <c:pt idx="0">
                  <c:v>Forecasted Total Revenue (₹ Crores):</c:v>
                </c:pt>
              </c:strCache>
            </c:strRef>
          </c:tx>
          <c:spPr>
            <a:ln w="19050" cap="rnd" cmpd="sng" algn="ctr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'Calculations '!$C$2:$E$2</c:f>
              <c:numCache>
                <c:formatCode>[$-409]mmm\-yy;@</c:formatCode>
                <c:ptCount val="3"/>
                <c:pt idx="0">
                  <c:v>46387</c:v>
                </c:pt>
                <c:pt idx="1">
                  <c:v>46752</c:v>
                </c:pt>
                <c:pt idx="2">
                  <c:v>47118</c:v>
                </c:pt>
              </c:numCache>
            </c:numRef>
          </c:cat>
          <c:val>
            <c:numRef>
              <c:f>'Calculations '!$C$6:$E$6</c:f>
              <c:numCache>
                <c:formatCode>"₹"\ #,##0.00</c:formatCode>
                <c:ptCount val="3"/>
                <c:pt idx="0">
                  <c:v>24773.366687999998</c:v>
                </c:pt>
                <c:pt idx="1">
                  <c:v>28301.094104371201</c:v>
                </c:pt>
                <c:pt idx="2">
                  <c:v>32331.169904833667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2D-4A8C-8694-C4AA61323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1703983"/>
        <c:axId val="1271724623"/>
        <c:extLst>
          <c:ext xmlns:c15="http://schemas.microsoft.com/office/drawing/2012/chart" uri="{02D57815-91ED-43cb-92C2-25804820EDAC}">
            <c15:filteredLineSeries>
              <c15:ser>
                <c:idx val="13"/>
                <c:order val="1"/>
                <c:tx>
                  <c:strRef>
                    <c:extLst>
                      <c:ext uri="{02D57815-91ED-43cb-92C2-25804820EDAC}">
                        <c15:formulaRef>
                          <c15:sqref>'Calculations '!$B$12</c15:sqref>
                        </c15:formulaRef>
                      </c:ext>
                    </c:extLst>
                    <c:strCache>
                      <c:ptCount val="1"/>
                      <c:pt idx="0">
                        <c:v>Section C: Expense Forecasting &amp; EBITDA Calculation.</c:v>
                      </c:pt>
                    </c:strCache>
                  </c:strRef>
                </c:tx>
                <c:spPr>
                  <a:ln w="19050" cap="rnd" cmpd="sng" algn="ctr">
                    <a:solidFill>
                      <a:schemeClr val="accent2">
                        <a:lumMod val="80000"/>
                        <a:lumOff val="20000"/>
                        <a:shade val="95000"/>
                        <a:satMod val="105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'Calculations '!$C$2:$E$2</c15:sqref>
                        </c15:formulaRef>
                      </c:ext>
                    </c:extLst>
                    <c:numCache>
                      <c:formatCode>[$-409]mmm\-yy;@</c:formatCode>
                      <c:ptCount val="3"/>
                      <c:pt idx="0">
                        <c:v>46387</c:v>
                      </c:pt>
                      <c:pt idx="1">
                        <c:v>46752</c:v>
                      </c:pt>
                      <c:pt idx="2">
                        <c:v>47118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'Calculations '!$C$12:$E$12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E-562D-4A8C-8694-C4AA613233B4}"/>
                  </c:ext>
                </c:extLst>
              </c15:ser>
            </c15:filteredLineSeries>
          </c:ext>
        </c:extLst>
      </c:lineChart>
      <c:lineChart>
        <c:grouping val="stacked"/>
        <c:varyColors val="0"/>
        <c:ser>
          <c:idx val="18"/>
          <c:order val="2"/>
          <c:tx>
            <c:strRef>
              <c:f>'Calculations '!$B$17</c:f>
              <c:strCache>
                <c:ptCount val="1"/>
                <c:pt idx="0">
                  <c:v>Forecasted EBITDA (Operating Profit):</c:v>
                </c:pt>
              </c:strCache>
            </c:strRef>
          </c:tx>
          <c:spPr>
            <a:ln w="19050" cap="rnd" cmpd="sng" algn="ctr">
              <a:solidFill>
                <a:schemeClr val="tx2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'Calculations '!$C$2:$E$2</c:f>
              <c:numCache>
                <c:formatCode>[$-409]mmm\-yy;@</c:formatCode>
                <c:ptCount val="3"/>
                <c:pt idx="0">
                  <c:v>46387</c:v>
                </c:pt>
                <c:pt idx="1">
                  <c:v>46752</c:v>
                </c:pt>
                <c:pt idx="2">
                  <c:v>47118</c:v>
                </c:pt>
              </c:numCache>
            </c:numRef>
          </c:cat>
          <c:val>
            <c:numRef>
              <c:f>'Calculations '!$C$17:$E$17</c:f>
              <c:numCache>
                <c:formatCode>"₹"\ #,##0.00</c:formatCode>
                <c:ptCount val="3"/>
                <c:pt idx="0">
                  <c:v>5697.8743382399989</c:v>
                </c:pt>
                <c:pt idx="1">
                  <c:v>6509.2516440053769</c:v>
                </c:pt>
                <c:pt idx="2">
                  <c:v>7436.1690781117431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2D-4A8C-8694-C4AA61323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5709600"/>
        <c:axId val="835718720"/>
      </c:lineChart>
      <c:catAx>
        <c:axId val="1271703983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724623"/>
        <c:crosses val="autoZero"/>
        <c:auto val="0"/>
        <c:lblAlgn val="ctr"/>
        <c:lblOffset val="100"/>
        <c:noMultiLvlLbl val="0"/>
      </c:catAx>
      <c:valAx>
        <c:axId val="1271724623"/>
        <c:scaling>
          <c:orientation val="minMax"/>
        </c:scaling>
        <c:delete val="1"/>
        <c:axPos val="l"/>
        <c:numFmt formatCode="&quot;₹&quot;\ #,##0.00" sourceLinked="1"/>
        <c:majorTickMark val="none"/>
        <c:minorTickMark val="none"/>
        <c:tickLblPos val="nextTo"/>
        <c:crossAx val="1271703983"/>
        <c:crosses val="autoZero"/>
        <c:crossBetween val="between"/>
      </c:valAx>
      <c:valAx>
        <c:axId val="835718720"/>
        <c:scaling>
          <c:orientation val="minMax"/>
        </c:scaling>
        <c:delete val="0"/>
        <c:axPos val="r"/>
        <c:numFmt formatCode="&quot;₹&quot;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709600"/>
        <c:crosses val="max"/>
        <c:crossBetween val="between"/>
      </c:valAx>
      <c:dateAx>
        <c:axId val="835709600"/>
        <c:scaling>
          <c:orientation val="minMax"/>
        </c:scaling>
        <c:delete val="1"/>
        <c:axPos val="b"/>
        <c:numFmt formatCode="[$-409]mmm\-yy;@" sourceLinked="1"/>
        <c:majorTickMark val="out"/>
        <c:minorTickMark val="none"/>
        <c:tickLblPos val="nextTo"/>
        <c:crossAx val="835718720"/>
        <c:crosses val="autoZero"/>
        <c:auto val="1"/>
        <c:lblOffset val="100"/>
        <c:baseTimeUnit val="years"/>
      </c:dateAx>
      <c:spPr>
        <a:noFill/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Growth Drivers: Volume vs. Price Variance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stacked"/>
        <c:varyColors val="0"/>
        <c:ser>
          <c:idx val="8"/>
          <c:order val="0"/>
          <c:tx>
            <c:strRef>
              <c:f>'Calculations '!$B$9</c:f>
              <c:strCache>
                <c:ptCount val="1"/>
                <c:pt idx="0">
                  <c:v>Volume Variance 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'Calculations '!$C$2:$E$2</c:f>
              <c:numCache>
                <c:formatCode>[$-409]mmm\-yy;@</c:formatCode>
                <c:ptCount val="3"/>
                <c:pt idx="0">
                  <c:v>46387</c:v>
                </c:pt>
                <c:pt idx="1">
                  <c:v>46752</c:v>
                </c:pt>
                <c:pt idx="2">
                  <c:v>47118</c:v>
                </c:pt>
              </c:numCache>
            </c:numRef>
          </c:cat>
          <c:val>
            <c:numRef>
              <c:f>'Calculations '!$C$9:$E$9</c:f>
              <c:numCache>
                <c:formatCode>0.00</c:formatCode>
                <c:ptCount val="3"/>
                <c:pt idx="0">
                  <c:v>15842.356316725978</c:v>
                </c:pt>
                <c:pt idx="1">
                  <c:v>29728.040025600036</c:v>
                </c:pt>
                <c:pt idx="2">
                  <c:v>33961.312925245453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BF-4C65-9F30-4E682A6D687F}"/>
            </c:ext>
          </c:extLst>
        </c:ser>
        <c:ser>
          <c:idx val="9"/>
          <c:order val="1"/>
          <c:tx>
            <c:strRef>
              <c:f>'Calculations '!$B$10</c:f>
              <c:strCache>
                <c:ptCount val="1"/>
                <c:pt idx="0">
                  <c:v>Price/Realization Variance 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'Calculations '!$C$2:$E$2</c:f>
              <c:numCache>
                <c:formatCode>[$-409]mmm\-yy;@</c:formatCode>
                <c:ptCount val="3"/>
                <c:pt idx="0">
                  <c:v>46387</c:v>
                </c:pt>
                <c:pt idx="1">
                  <c:v>46752</c:v>
                </c:pt>
                <c:pt idx="2">
                  <c:v>47118</c:v>
                </c:pt>
              </c:numCache>
            </c:numRef>
          </c:cat>
          <c:val>
            <c:numRef>
              <c:f>'Calculations '!$C$10:$E$10</c:f>
              <c:numCache>
                <c:formatCode>0.00</c:formatCode>
                <c:ptCount val="3"/>
                <c:pt idx="0">
                  <c:v>934.84368327397806</c:v>
                </c:pt>
                <c:pt idx="1">
                  <c:v>5549.2341381120095</c:v>
                </c:pt>
                <c:pt idx="2">
                  <c:v>6339.4450793791621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BF-4C65-9F30-4E682A6D68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332448127"/>
        <c:axId val="1332449087"/>
        <c:extLst/>
      </c:barChart>
      <c:catAx>
        <c:axId val="1332448127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449087"/>
        <c:crosses val="autoZero"/>
        <c:auto val="0"/>
        <c:lblAlgn val="ctr"/>
        <c:lblOffset val="100"/>
        <c:noMultiLvlLbl val="0"/>
      </c:catAx>
      <c:valAx>
        <c:axId val="133244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448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</xdr:row>
      <xdr:rowOff>137160</xdr:rowOff>
    </xdr:from>
    <xdr:to>
      <xdr:col>10</xdr:col>
      <xdr:colOff>601980</xdr:colOff>
      <xdr:row>21</xdr:row>
      <xdr:rowOff>68580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EF75CD9-74E3-9CE7-CB66-DE773DF54177}"/>
            </a:ext>
          </a:extLst>
        </xdr:cNvPr>
        <xdr:cNvSpPr txBox="1"/>
      </xdr:nvSpPr>
      <xdr:spPr>
        <a:xfrm>
          <a:off x="152400" y="320040"/>
          <a:ext cx="6096000" cy="35890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1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Summary &amp; Key Findings </a:t>
          </a:r>
        </a:p>
        <a:p>
          <a:endParaRPr lang="en-IN" sz="1200" b="0" i="0" u="none" strike="noStrike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l"/>
          <a:r>
            <a:rPr lang="en-IN" sz="12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Revenue growth: Revenue from Operations grew from ₹8,823 Cr (CY21) to ₹21,685 Cr (CY25) roughly 2.5x growth in 4 years, a strong 25% CAGR.</a:t>
          </a:r>
          <a:r>
            <a:rPr lang="en-IN" sz="120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 </a:t>
          </a:r>
        </a:p>
        <a:p>
          <a:pPr algn="l"/>
          <a:endParaRPr lang="en-IN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IN" sz="12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Growth was volume</a:t>
          </a:r>
          <a:r>
            <a:rPr lang="en-IN" sz="1200" b="0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IN" sz="12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led, not price</a:t>
          </a:r>
          <a:r>
            <a:rPr lang="en-IN" sz="1200" b="0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IN" sz="12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led: Sales Volume nearly doubled (569  to 1,213 million cases 113% growth), while Net Realization per Case grew only 15% (₹155 to</a:t>
          </a:r>
          <a:r>
            <a:rPr lang="en-IN" sz="1200" b="0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IN" sz="12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₹179) over the same period. This tells us the company grew mainly by selling more, not by charging more consistent with a rural/international expansion strategy.</a:t>
          </a:r>
          <a:r>
            <a:rPr lang="en-IN" sz="120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  <a:p>
          <a:pPr algn="l"/>
          <a:endParaRPr lang="en-IN" sz="1200" b="0" i="0" u="none" strike="noStrike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l"/>
          <a:r>
            <a:rPr lang="en-IN" sz="12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Profitability improved, not just revenue: Net Profit (PAT) grew even faster than revenue from ₹694 Cr to ₹3,036 Cr, about 4.4x  meaning margins expanded, not just topline.</a:t>
          </a:r>
          <a:r>
            <a:rPr lang="en-IN" sz="120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  <a:p>
          <a:pPr algn="l"/>
          <a:endParaRPr lang="en-IN" sz="12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IN" sz="12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EBITDA margin is stable at 23% in recent years matching the company's own forward</a:t>
          </a:r>
          <a:r>
            <a:rPr lang="en-IN" sz="1200" b="0" i="0" u="none" strike="noStrike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IN" sz="12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looking assumption, which is a good sign of consistency between the historical base and the forecast logic.</a:t>
          </a:r>
          <a:r>
            <a:rPr lang="en-IN" sz="120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  <a:p>
          <a:pPr algn="l"/>
          <a:endParaRPr lang="en-IN" sz="12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IN" sz="12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Forecast outlook: Based on the stated assumptions (12% volume growth, 2% price growth annually), the model projects continued double-digit revenue growth with margins holding around 23%.</a:t>
          </a:r>
          <a:r>
            <a:rPr lang="en-IN" sz="120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IN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175260</xdr:rowOff>
    </xdr:from>
    <xdr:to>
      <xdr:col>3</xdr:col>
      <xdr:colOff>594360</xdr:colOff>
      <xdr:row>6</xdr:row>
      <xdr:rowOff>167640</xdr:rowOff>
    </xdr:to>
    <xdr:sp macro="" textlink="'Calculations '!E6">
      <xdr:nvSpPr>
        <xdr:cNvPr id="3" name="Rectangle: Rounded Corners 2">
          <a:extLst>
            <a:ext uri="{FF2B5EF4-FFF2-40B4-BE49-F238E27FC236}">
              <a16:creationId xmlns:a16="http://schemas.microsoft.com/office/drawing/2014/main" id="{86E402C2-44C4-FB12-0AEA-3E2C5BC39569}"/>
            </a:ext>
          </a:extLst>
        </xdr:cNvPr>
        <xdr:cNvSpPr/>
      </xdr:nvSpPr>
      <xdr:spPr>
        <a:xfrm>
          <a:off x="609600" y="358140"/>
          <a:ext cx="1813560" cy="90678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fld id="{772FB6EF-4C66-432C-A631-78973800A73B}" type="TxLink">
            <a:rPr lang="en-US" sz="1400" b="1" i="0" u="none" strike="noStrike">
              <a:solidFill>
                <a:srgbClr val="000000"/>
              </a:solidFill>
              <a:latin typeface="Times New Roman"/>
              <a:cs typeface="Times New Roman"/>
            </a:rPr>
            <a:pPr algn="ctr"/>
            <a:t>₹ 32,331.17</a:t>
          </a:fld>
          <a:endParaRPr lang="en-IN" sz="1400" b="1"/>
        </a:p>
      </xdr:txBody>
    </xdr:sp>
    <xdr:clientData/>
  </xdr:twoCellAnchor>
  <xdr:twoCellAnchor>
    <xdr:from>
      <xdr:col>1</xdr:col>
      <xdr:colOff>129540</xdr:colOff>
      <xdr:row>2</xdr:row>
      <xdr:rowOff>45720</xdr:rowOff>
    </xdr:from>
    <xdr:to>
      <xdr:col>3</xdr:col>
      <xdr:colOff>441960</xdr:colOff>
      <xdr:row>5</xdr:row>
      <xdr:rowOff>30480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97E58BD-9A69-E94B-ED33-13FE0FB7B3EE}"/>
            </a:ext>
          </a:extLst>
        </xdr:cNvPr>
        <xdr:cNvSpPr txBox="1"/>
      </xdr:nvSpPr>
      <xdr:spPr>
        <a:xfrm>
          <a:off x="739140" y="411480"/>
          <a:ext cx="1531620" cy="533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1">
              <a:latin typeface="Times New Roman" panose="02020603050405020304" pitchFamily="18" charset="0"/>
              <a:cs typeface="Times New Roman" panose="02020603050405020304" pitchFamily="18" charset="0"/>
            </a:rPr>
            <a:t>Forecasted Revenue (Dec-28)</a:t>
          </a:r>
        </a:p>
      </xdr:txBody>
    </xdr:sp>
    <xdr:clientData/>
  </xdr:twoCellAnchor>
  <xdr:twoCellAnchor>
    <xdr:from>
      <xdr:col>4</xdr:col>
      <xdr:colOff>91440</xdr:colOff>
      <xdr:row>2</xdr:row>
      <xdr:rowOff>7620</xdr:rowOff>
    </xdr:from>
    <xdr:to>
      <xdr:col>7</xdr:col>
      <xdr:colOff>251460</xdr:colOff>
      <xdr:row>6</xdr:row>
      <xdr:rowOff>167640</xdr:rowOff>
    </xdr:to>
    <xdr:sp macro="" textlink="'Calculations '!E17">
      <xdr:nvSpPr>
        <xdr:cNvPr id="5" name="Rectangle: Rounded Corners 4">
          <a:extLst>
            <a:ext uri="{FF2B5EF4-FFF2-40B4-BE49-F238E27FC236}">
              <a16:creationId xmlns:a16="http://schemas.microsoft.com/office/drawing/2014/main" id="{06B8CFE2-C6B6-82C9-1DC6-4A3B858D5AB0}"/>
            </a:ext>
          </a:extLst>
        </xdr:cNvPr>
        <xdr:cNvSpPr/>
      </xdr:nvSpPr>
      <xdr:spPr>
        <a:xfrm>
          <a:off x="2080260" y="373380"/>
          <a:ext cx="1988820" cy="89154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fld id="{6812C146-5758-424C-BBD6-89C75DD85557}" type="TxLink">
            <a:rPr lang="en-US" sz="1200" b="1" i="0" u="none" strike="noStrike">
              <a:solidFill>
                <a:srgbClr val="000000"/>
              </a:solidFill>
              <a:latin typeface="Times New Roman"/>
              <a:cs typeface="Times New Roman"/>
            </a:rPr>
            <a:pPr algn="ctr"/>
            <a:t>₹ 7,436.17</a:t>
          </a:fld>
          <a:endParaRPr lang="en-IN" sz="1100" b="1"/>
        </a:p>
      </xdr:txBody>
    </xdr:sp>
    <xdr:clientData/>
  </xdr:twoCellAnchor>
  <xdr:twoCellAnchor>
    <xdr:from>
      <xdr:col>4</xdr:col>
      <xdr:colOff>228600</xdr:colOff>
      <xdr:row>2</xdr:row>
      <xdr:rowOff>106680</xdr:rowOff>
    </xdr:from>
    <xdr:to>
      <xdr:col>7</xdr:col>
      <xdr:colOff>99060</xdr:colOff>
      <xdr:row>5</xdr:row>
      <xdr:rowOff>91440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152FD0A-159B-6617-6ECB-D190B3041793}"/>
            </a:ext>
          </a:extLst>
        </xdr:cNvPr>
        <xdr:cNvSpPr txBox="1"/>
      </xdr:nvSpPr>
      <xdr:spPr>
        <a:xfrm>
          <a:off x="2217420" y="472440"/>
          <a:ext cx="1699260" cy="533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200" b="1">
              <a:latin typeface="Times New Roman" panose="02020603050405020304" pitchFamily="18" charset="0"/>
              <a:cs typeface="Times New Roman" panose="02020603050405020304" pitchFamily="18" charset="0"/>
            </a:rPr>
            <a:t>Final Forecasted EBITDA (Dec-28)</a:t>
          </a:r>
        </a:p>
      </xdr:txBody>
    </xdr:sp>
    <xdr:clientData/>
  </xdr:twoCellAnchor>
  <xdr:twoCellAnchor>
    <xdr:from>
      <xdr:col>7</xdr:col>
      <xdr:colOff>381000</xdr:colOff>
      <xdr:row>2</xdr:row>
      <xdr:rowOff>22860</xdr:rowOff>
    </xdr:from>
    <xdr:to>
      <xdr:col>10</xdr:col>
      <xdr:colOff>342900</xdr:colOff>
      <xdr:row>7</xdr:row>
      <xdr:rowOff>7620</xdr:rowOff>
    </xdr:to>
    <xdr:sp macro="" textlink="'Calculations '!E18">
      <xdr:nvSpPr>
        <xdr:cNvPr id="9" name="Rectangle: Rounded Corners 8">
          <a:extLst>
            <a:ext uri="{FF2B5EF4-FFF2-40B4-BE49-F238E27FC236}">
              <a16:creationId xmlns:a16="http://schemas.microsoft.com/office/drawing/2014/main" id="{989A52A5-BD1D-1EC3-604C-49F0766AA687}"/>
            </a:ext>
          </a:extLst>
        </xdr:cNvPr>
        <xdr:cNvSpPr/>
      </xdr:nvSpPr>
      <xdr:spPr>
        <a:xfrm>
          <a:off x="4198620" y="388620"/>
          <a:ext cx="1790700" cy="89916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fld id="{7F13AEB2-165C-4F11-A25D-9DD774DB24B1}" type="TxLink">
            <a:rPr lang="en-US" sz="1200" b="1" i="0" u="none" strike="noStrike">
              <a:solidFill>
                <a:srgbClr val="000000"/>
              </a:solidFill>
              <a:latin typeface="Times New Roman"/>
              <a:cs typeface="Times New Roman"/>
            </a:rPr>
            <a:pPr algn="ctr"/>
            <a:t>23%</a:t>
          </a:fld>
          <a:endParaRPr lang="en-IN" sz="1100" b="1"/>
        </a:p>
      </xdr:txBody>
    </xdr:sp>
    <xdr:clientData/>
  </xdr:twoCellAnchor>
  <xdr:twoCellAnchor>
    <xdr:from>
      <xdr:col>7</xdr:col>
      <xdr:colOff>518160</xdr:colOff>
      <xdr:row>3</xdr:row>
      <xdr:rowOff>60960</xdr:rowOff>
    </xdr:from>
    <xdr:to>
      <xdr:col>10</xdr:col>
      <xdr:colOff>220980</xdr:colOff>
      <xdr:row>5</xdr:row>
      <xdr:rowOff>121920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97B2D50-3C58-3783-D297-B67973FF0DAF}"/>
            </a:ext>
          </a:extLst>
        </xdr:cNvPr>
        <xdr:cNvSpPr txBox="1"/>
      </xdr:nvSpPr>
      <xdr:spPr>
        <a:xfrm>
          <a:off x="4335780" y="609600"/>
          <a:ext cx="1531620" cy="4267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200" b="1">
              <a:latin typeface="Times New Roman" panose="02020603050405020304" pitchFamily="18" charset="0"/>
              <a:cs typeface="Times New Roman" panose="02020603050405020304" pitchFamily="18" charset="0"/>
            </a:rPr>
            <a:t>EBITDA Margin %</a:t>
          </a:r>
        </a:p>
      </xdr:txBody>
    </xdr:sp>
    <xdr:clientData/>
  </xdr:twoCellAnchor>
  <xdr:twoCellAnchor>
    <xdr:from>
      <xdr:col>10</xdr:col>
      <xdr:colOff>480060</xdr:colOff>
      <xdr:row>2</xdr:row>
      <xdr:rowOff>38100</xdr:rowOff>
    </xdr:from>
    <xdr:to>
      <xdr:col>13</xdr:col>
      <xdr:colOff>495300</xdr:colOff>
      <xdr:row>7</xdr:row>
      <xdr:rowOff>0</xdr:rowOff>
    </xdr:to>
    <xdr:sp macro="" textlink="'Calculations '!E4">
      <xdr:nvSpPr>
        <xdr:cNvPr id="11" name="Rectangle: Rounded Corners 10">
          <a:extLst>
            <a:ext uri="{FF2B5EF4-FFF2-40B4-BE49-F238E27FC236}">
              <a16:creationId xmlns:a16="http://schemas.microsoft.com/office/drawing/2014/main" id="{1039CF7B-CF7B-B99A-BCF5-757435C7876F}"/>
            </a:ext>
          </a:extLst>
        </xdr:cNvPr>
        <xdr:cNvSpPr/>
      </xdr:nvSpPr>
      <xdr:spPr>
        <a:xfrm>
          <a:off x="6126480" y="403860"/>
          <a:ext cx="1844040" cy="87630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fld id="{0C83DB06-59B5-431A-AC69-63DC4DBB49CF}" type="TxLink">
            <a:rPr lang="en-US" sz="1200" b="1" i="0" u="none" strike="noStrike">
              <a:solidFill>
                <a:srgbClr val="000000"/>
              </a:solidFill>
              <a:latin typeface="Times New Roman"/>
              <a:cs typeface="Times New Roman"/>
            </a:rPr>
            <a:pPr algn="ctr"/>
            <a:t>1704.18</a:t>
          </a:fld>
          <a:endParaRPr lang="en-IN" sz="1100" b="1"/>
        </a:p>
      </xdr:txBody>
    </xdr:sp>
    <xdr:clientData/>
  </xdr:twoCellAnchor>
  <xdr:twoCellAnchor>
    <xdr:from>
      <xdr:col>11</xdr:col>
      <xdr:colOff>53340</xdr:colOff>
      <xdr:row>2</xdr:row>
      <xdr:rowOff>144780</xdr:rowOff>
    </xdr:from>
    <xdr:to>
      <xdr:col>13</xdr:col>
      <xdr:colOff>266700</xdr:colOff>
      <xdr:row>5</xdr:row>
      <xdr:rowOff>53340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AF56CAA-A5EC-7DBF-8E0F-548C41256E4D}"/>
            </a:ext>
          </a:extLst>
        </xdr:cNvPr>
        <xdr:cNvSpPr txBox="1"/>
      </xdr:nvSpPr>
      <xdr:spPr>
        <a:xfrm>
          <a:off x="6309360" y="510540"/>
          <a:ext cx="1432560" cy="457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200" b="1">
              <a:latin typeface="Times New Roman" panose="02020603050405020304" pitchFamily="18" charset="0"/>
              <a:cs typeface="Times New Roman" panose="02020603050405020304" pitchFamily="18" charset="0"/>
            </a:rPr>
            <a:t>Total Sales Volume (Dec-28)</a:t>
          </a:r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7</xdr:col>
      <xdr:colOff>594360</xdr:colOff>
      <xdr:row>22</xdr:row>
      <xdr:rowOff>167640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2CAA026-7B83-4140-93F9-807A484221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8</xdr:row>
      <xdr:rowOff>0</xdr:rowOff>
    </xdr:from>
    <xdr:to>
      <xdr:col>16</xdr:col>
      <xdr:colOff>22860</xdr:colOff>
      <xdr:row>23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CA33059-A73B-451D-AE44-7757BF6FB8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8B05D-D8CC-446E-A200-C03BEAB4FA4F}">
  <dimension ref="A1"/>
  <sheetViews>
    <sheetView showGridLines="0" workbookViewId="0">
      <selection activeCell="O14" sqref="O14"/>
    </sheetView>
  </sheetViews>
  <sheetFormatPr defaultRowHeight="14.4" x14ac:dyDescent="0.3"/>
  <cols>
    <col min="1" max="1" width="2.33203125" customWidth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63FB2-9482-46F5-96F9-055ACEF11988}">
  <dimension ref="R10:W16"/>
  <sheetViews>
    <sheetView showGridLines="0" topLeftCell="A2" zoomScale="109" workbookViewId="0">
      <selection activeCell="Q6" sqref="Q6"/>
    </sheetView>
  </sheetViews>
  <sheetFormatPr defaultRowHeight="15.6" x14ac:dyDescent="0.3"/>
  <cols>
    <col min="1" max="1" width="2.33203125" style="1" customWidth="1"/>
    <col min="2" max="16384" width="8.88671875" style="1"/>
  </cols>
  <sheetData>
    <row r="10" spans="18:23" x14ac:dyDescent="0.3">
      <c r="R10" s="47" t="s">
        <v>104</v>
      </c>
      <c r="S10" s="47"/>
      <c r="T10" s="47"/>
      <c r="U10" s="47"/>
      <c r="V10" s="47"/>
      <c r="W10" s="47"/>
    </row>
    <row r="11" spans="18:23" x14ac:dyDescent="0.3">
      <c r="R11" s="28">
        <v>7436.1690781117431</v>
      </c>
      <c r="S11" s="30">
        <v>0.43</v>
      </c>
      <c r="T11" s="30">
        <v>0.45</v>
      </c>
      <c r="U11" s="30">
        <v>0.47</v>
      </c>
      <c r="V11" s="30">
        <v>0.49</v>
      </c>
      <c r="W11" s="30">
        <v>0.51</v>
      </c>
    </row>
    <row r="12" spans="18:23" x14ac:dyDescent="0.3">
      <c r="R12" s="30">
        <v>0.08</v>
      </c>
      <c r="S12" s="29">
        <v>7247.3398464472593</v>
      </c>
      <c r="T12" s="29">
        <v>6667.552658731478</v>
      </c>
      <c r="U12" s="29">
        <v>6087.7654710156967</v>
      </c>
      <c r="V12" s="29">
        <v>5507.9782832999153</v>
      </c>
      <c r="W12" s="29">
        <v>4928.191095584134</v>
      </c>
    </row>
    <row r="13" spans="18:23" x14ac:dyDescent="0.3">
      <c r="R13" s="30">
        <v>0.1</v>
      </c>
      <c r="S13" s="29">
        <v>7657.471974245942</v>
      </c>
      <c r="T13" s="29">
        <v>7044.874216306267</v>
      </c>
      <c r="U13" s="29">
        <v>6432.2764583665921</v>
      </c>
      <c r="V13" s="29">
        <v>5819.6787004269172</v>
      </c>
      <c r="W13" s="29">
        <v>5207.0809424872386</v>
      </c>
    </row>
    <row r="14" spans="18:23" x14ac:dyDescent="0.3">
      <c r="R14" s="30">
        <v>0.12</v>
      </c>
      <c r="S14" s="29">
        <v>8082.7924762084149</v>
      </c>
      <c r="T14" s="29">
        <v>7436.1690781117431</v>
      </c>
      <c r="U14" s="29">
        <v>6789.5456800150714</v>
      </c>
      <c r="V14" s="29">
        <v>6142.9222819183997</v>
      </c>
      <c r="W14" s="29">
        <v>5496.2988838217279</v>
      </c>
    </row>
    <row r="15" spans="18:23" x14ac:dyDescent="0.3">
      <c r="R15" s="30">
        <v>0.14000000000000001</v>
      </c>
      <c r="S15" s="29">
        <v>8523.5775045922092</v>
      </c>
      <c r="T15" s="29">
        <v>7841.6913042248307</v>
      </c>
      <c r="U15" s="29">
        <v>7159.8051038574558</v>
      </c>
      <c r="V15" s="29">
        <v>6477.918903490081</v>
      </c>
      <c r="W15" s="29">
        <v>5796.0327031227025</v>
      </c>
    </row>
    <row r="16" spans="18:23" x14ac:dyDescent="0.3">
      <c r="R16" s="30">
        <v>0.16</v>
      </c>
      <c r="S16" s="29">
        <v>8980.103211654834</v>
      </c>
      <c r="T16" s="29">
        <v>8261.6949547224467</v>
      </c>
      <c r="U16" s="29">
        <v>7543.286697790063</v>
      </c>
      <c r="V16" s="29">
        <v>6824.8784408576757</v>
      </c>
      <c r="W16" s="29">
        <v>6106.4701839252884</v>
      </c>
    </row>
  </sheetData>
  <mergeCells count="1">
    <mergeCell ref="R10:W10"/>
  </mergeCells>
  <conditionalFormatting sqref="S12:W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ADC91-F7B2-4C44-ADE9-BE109BA4B8AA}">
  <dimension ref="B2:I10"/>
  <sheetViews>
    <sheetView showGridLines="0" workbookViewId="0">
      <selection activeCell="G17" sqref="G17"/>
    </sheetView>
  </sheetViews>
  <sheetFormatPr defaultRowHeight="15.6" x14ac:dyDescent="0.3"/>
  <cols>
    <col min="1" max="1" width="2.33203125" style="1" customWidth="1"/>
    <col min="2" max="2" width="25.21875" style="1" bestFit="1" customWidth="1"/>
    <col min="3" max="8" width="10.77734375" style="1" customWidth="1"/>
    <col min="9" max="16384" width="8.88671875" style="1"/>
  </cols>
  <sheetData>
    <row r="2" spans="2:9" x14ac:dyDescent="0.3">
      <c r="B2" s="48" t="s">
        <v>95</v>
      </c>
      <c r="C2" s="48" t="s">
        <v>93</v>
      </c>
      <c r="D2" s="48"/>
      <c r="E2" s="48"/>
      <c r="F2" s="48" t="s">
        <v>94</v>
      </c>
      <c r="G2" s="48"/>
      <c r="H2" s="48"/>
    </row>
    <row r="3" spans="2:9" x14ac:dyDescent="0.3">
      <c r="B3" s="49"/>
      <c r="C3" s="35">
        <v>45291</v>
      </c>
      <c r="D3" s="35">
        <f>EDATE(C3,12)</f>
        <v>45657</v>
      </c>
      <c r="E3" s="35">
        <f t="shared" ref="E3:H3" si="0">EDATE(D3,12)</f>
        <v>46022</v>
      </c>
      <c r="F3" s="35">
        <f t="shared" si="0"/>
        <v>46387</v>
      </c>
      <c r="G3" s="35">
        <f t="shared" si="0"/>
        <v>46752</v>
      </c>
      <c r="H3" s="35">
        <f t="shared" si="0"/>
        <v>47118</v>
      </c>
    </row>
    <row r="5" spans="2:9" x14ac:dyDescent="0.3">
      <c r="B5" s="1" t="s">
        <v>96</v>
      </c>
      <c r="C5" s="24">
        <f>('Raw Data '!E5/'Raw Data '!D5)-1</f>
        <v>0.21782505917343942</v>
      </c>
      <c r="D5" s="24">
        <f>('Raw Data '!F5/'Raw Data '!E5)-1</f>
        <v>0.24715912278448982</v>
      </c>
      <c r="E5" s="24">
        <f>('Raw Data '!G5/'Raw Data '!F5)-1</f>
        <v>8.3853925873353274E-2</v>
      </c>
      <c r="F5" s="24">
        <f>('Calculations '!C6/'Raw Data '!G5)-1</f>
        <v>0.14240000000000008</v>
      </c>
      <c r="G5" s="24">
        <f>('Calculations '!D6/'Calculations '!C6)-1</f>
        <v>0.14240000000000008</v>
      </c>
      <c r="H5" s="24">
        <f>('Calculations '!E6/'Calculations '!D6)-1</f>
        <v>0.1424000000000003</v>
      </c>
    </row>
    <row r="6" spans="2:9" x14ac:dyDescent="0.3">
      <c r="B6" s="1" t="s">
        <v>99</v>
      </c>
      <c r="C6" s="24">
        <f>('Raw Data '!E9/'Raw Data '!D9)-1</f>
        <v>0.63145822660962447</v>
      </c>
      <c r="D6" s="24">
        <f>('Raw Data '!F9/'Raw Data '!E9)-1</f>
        <v>0.33502967417809093</v>
      </c>
      <c r="E6" s="24">
        <f>('Raw Data '!G9/'Raw Data '!F9)-1</f>
        <v>8.4870778338816733E-2</v>
      </c>
      <c r="F6" s="24">
        <f>('Calculations '!C17/'Raw Data '!G9)-1</f>
        <v>0.11287694962646166</v>
      </c>
      <c r="G6" s="24">
        <f>('Calculations '!D17/'Calculations '!C17)-1</f>
        <v>0.1424000000000003</v>
      </c>
      <c r="H6" s="24">
        <f>('Calculations '!E17/'Calculations '!D17)-1</f>
        <v>0.14240000000000008</v>
      </c>
    </row>
    <row r="7" spans="2:9" x14ac:dyDescent="0.3">
      <c r="B7" s="1" t="s">
        <v>98</v>
      </c>
      <c r="C7" s="24">
        <f>'Raw Data '!E9/'Raw Data '!E5</f>
        <v>0.22035483070678155</v>
      </c>
      <c r="D7" s="24">
        <f>'Raw Data '!F9/'Raw Data '!F5</f>
        <v>0.23588027579450865</v>
      </c>
      <c r="E7" s="24">
        <f>'Raw Data '!G9/'Raw Data '!G5</f>
        <v>0.23610157447163674</v>
      </c>
      <c r="F7" s="24">
        <f>'Calculations '!C17/'Calculations '!C6</f>
        <v>0.22999999999999998</v>
      </c>
      <c r="G7" s="24">
        <f>'Calculations '!D17/'Calculations '!D6</f>
        <v>0.23</v>
      </c>
      <c r="H7" s="24">
        <f>'Calculations '!E17/'Calculations '!E6</f>
        <v>0.22999999999999998</v>
      </c>
    </row>
    <row r="8" spans="2:9" x14ac:dyDescent="0.3">
      <c r="B8" s="1" t="s">
        <v>97</v>
      </c>
      <c r="C8" s="26">
        <f>C6/C5</f>
        <v>2.898923700540978</v>
      </c>
      <c r="D8" s="26">
        <f t="shared" ref="D8:E8" si="1">D6/D5</f>
        <v>1.3555221850751582</v>
      </c>
      <c r="E8" s="26">
        <f t="shared" si="1"/>
        <v>1.0121264741617373</v>
      </c>
      <c r="F8" s="11">
        <f>F6/F5</f>
        <v>0.79267520805099434</v>
      </c>
      <c r="G8" s="11">
        <f t="shared" ref="G8:H8" si="2">G6/G5</f>
        <v>1.0000000000000016</v>
      </c>
      <c r="H8" s="11">
        <f t="shared" si="2"/>
        <v>0.99999999999999845</v>
      </c>
      <c r="I8" s="11"/>
    </row>
    <row r="9" spans="2:9" x14ac:dyDescent="0.3">
      <c r="B9" s="1" t="s">
        <v>101</v>
      </c>
      <c r="C9" s="24">
        <f>'Data Sheet '!I59/('Data Sheet '!I57+'Data Sheet '!I58)</f>
        <v>0.78300439703020264</v>
      </c>
      <c r="D9" s="24">
        <f>'Data Sheet '!J59/('Data Sheet '!J57+'Data Sheet '!J58)</f>
        <v>0.17015526347951784</v>
      </c>
      <c r="E9" s="24">
        <f>'Data Sheet '!K59/('Data Sheet '!K57+'Data Sheet '!K58)</f>
        <v>0.12810758630552588</v>
      </c>
      <c r="F9" s="31" t="s">
        <v>105</v>
      </c>
      <c r="G9" s="31" t="s">
        <v>105</v>
      </c>
      <c r="H9" s="31" t="s">
        <v>105</v>
      </c>
    </row>
    <row r="10" spans="2:9" ht="16.2" thickBot="1" x14ac:dyDescent="0.35">
      <c r="B10" s="32" t="s">
        <v>100</v>
      </c>
      <c r="C10" s="33">
        <f>'Data Sheet '!I30/('Data Sheet '!I57+'Data Sheet '!I58)</f>
        <v>0.29639155193541411</v>
      </c>
      <c r="D10" s="33">
        <f>'Data Sheet '!J30/('Data Sheet '!J57+'Data Sheet '!J58)</f>
        <v>0.15621050907805797</v>
      </c>
      <c r="E10" s="33">
        <f>'Data Sheet '!K30/('Data Sheet '!K57+'Data Sheet '!K58)</f>
        <v>0.15509150250016598</v>
      </c>
      <c r="F10" s="34" t="s">
        <v>105</v>
      </c>
      <c r="G10" s="34" t="s">
        <v>105</v>
      </c>
      <c r="H10" s="34" t="s">
        <v>105</v>
      </c>
    </row>
  </sheetData>
  <mergeCells count="3">
    <mergeCell ref="C2:E2"/>
    <mergeCell ref="F2:H2"/>
    <mergeCell ref="B2: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5BAB7-A2A5-4430-A1AB-4C5E3138421C}">
  <dimension ref="B3:G27"/>
  <sheetViews>
    <sheetView showGridLines="0" workbookViewId="0">
      <selection activeCell="C15" sqref="C15"/>
    </sheetView>
  </sheetViews>
  <sheetFormatPr defaultRowHeight="15.6" x14ac:dyDescent="0.3"/>
  <cols>
    <col min="1" max="1" width="2.33203125" style="1" customWidth="1"/>
    <col min="2" max="2" width="46.5546875" style="1" bestFit="1" customWidth="1"/>
    <col min="3" max="3" width="17.33203125" style="1" customWidth="1"/>
    <col min="4" max="4" width="72.5546875" style="1" bestFit="1" customWidth="1"/>
    <col min="5" max="16384" width="8.88671875" style="1"/>
  </cols>
  <sheetData>
    <row r="3" spans="2:4" x14ac:dyDescent="0.3">
      <c r="B3" s="53" t="s">
        <v>0</v>
      </c>
      <c r="C3" s="48"/>
      <c r="D3" s="54"/>
    </row>
    <row r="4" spans="2:4" x14ac:dyDescent="0.3">
      <c r="B4" s="40" t="s">
        <v>1</v>
      </c>
      <c r="C4" s="17" t="s">
        <v>2</v>
      </c>
      <c r="D4" s="41" t="s">
        <v>3</v>
      </c>
    </row>
    <row r="5" spans="2:4" x14ac:dyDescent="0.3">
      <c r="B5" s="36" t="s">
        <v>4</v>
      </c>
      <c r="C5" s="44">
        <v>0.12</v>
      </c>
      <c r="D5" s="37" t="s">
        <v>6</v>
      </c>
    </row>
    <row r="6" spans="2:4" x14ac:dyDescent="0.3">
      <c r="B6" s="36" t="s">
        <v>5</v>
      </c>
      <c r="C6" s="44">
        <v>0.02</v>
      </c>
      <c r="D6" s="37" t="s">
        <v>7</v>
      </c>
    </row>
    <row r="7" spans="2:4" x14ac:dyDescent="0.3">
      <c r="B7" s="36"/>
      <c r="D7" s="37"/>
    </row>
    <row r="8" spans="2:4" x14ac:dyDescent="0.3">
      <c r="B8" s="50" t="s">
        <v>8</v>
      </c>
      <c r="C8" s="51"/>
      <c r="D8" s="52"/>
    </row>
    <row r="9" spans="2:4" x14ac:dyDescent="0.3">
      <c r="B9" s="40" t="s">
        <v>1</v>
      </c>
      <c r="C9" s="17" t="s">
        <v>2</v>
      </c>
      <c r="D9" s="41" t="s">
        <v>3</v>
      </c>
    </row>
    <row r="10" spans="2:4" x14ac:dyDescent="0.3">
      <c r="B10" s="36" t="s">
        <v>9</v>
      </c>
      <c r="C10" s="45">
        <v>0.45</v>
      </c>
      <c r="D10" s="37" t="s">
        <v>13</v>
      </c>
    </row>
    <row r="11" spans="2:4" x14ac:dyDescent="0.3">
      <c r="B11" s="36" t="s">
        <v>10</v>
      </c>
      <c r="C11" s="45">
        <v>0.11</v>
      </c>
      <c r="D11" s="37" t="s">
        <v>14</v>
      </c>
    </row>
    <row r="12" spans="2:4" x14ac:dyDescent="0.3">
      <c r="B12" s="36" t="s">
        <v>11</v>
      </c>
      <c r="C12" s="45">
        <v>0.21</v>
      </c>
      <c r="D12" s="37" t="s">
        <v>15</v>
      </c>
    </row>
    <row r="13" spans="2:4" x14ac:dyDescent="0.3">
      <c r="B13" s="38" t="s">
        <v>12</v>
      </c>
      <c r="C13" s="46">
        <v>0.25</v>
      </c>
      <c r="D13" s="39" t="s">
        <v>16</v>
      </c>
    </row>
    <row r="17" spans="2:7" x14ac:dyDescent="0.3">
      <c r="C17" s="3"/>
    </row>
    <row r="18" spans="2:7" x14ac:dyDescent="0.3">
      <c r="C18" s="2"/>
    </row>
    <row r="22" spans="2:7" x14ac:dyDescent="0.3">
      <c r="B22" s="19"/>
      <c r="C22" s="25"/>
      <c r="D22" s="25"/>
      <c r="E22" s="25"/>
      <c r="F22" s="25"/>
      <c r="G22" s="25"/>
    </row>
    <row r="23" spans="2:7" x14ac:dyDescent="0.3">
      <c r="B23" s="25"/>
      <c r="C23" s="11"/>
      <c r="D23" s="11"/>
      <c r="E23" s="11"/>
      <c r="F23" s="11"/>
      <c r="G23" s="11"/>
    </row>
    <row r="24" spans="2:7" x14ac:dyDescent="0.3">
      <c r="B24" s="25"/>
      <c r="C24" s="11"/>
      <c r="D24" s="11"/>
      <c r="E24" s="11"/>
      <c r="F24" s="11"/>
      <c r="G24" s="11"/>
    </row>
    <row r="25" spans="2:7" x14ac:dyDescent="0.3">
      <c r="B25" s="25"/>
      <c r="C25" s="11"/>
      <c r="D25" s="11"/>
      <c r="E25" s="11"/>
      <c r="F25" s="11"/>
      <c r="G25" s="11"/>
    </row>
    <row r="26" spans="2:7" x14ac:dyDescent="0.3">
      <c r="B26" s="25"/>
      <c r="C26" s="11"/>
      <c r="D26" s="11"/>
      <c r="E26" s="11"/>
      <c r="F26" s="11"/>
      <c r="G26" s="11"/>
    </row>
    <row r="27" spans="2:7" x14ac:dyDescent="0.3">
      <c r="B27" s="25"/>
      <c r="C27" s="11"/>
      <c r="D27" s="11"/>
      <c r="E27" s="11"/>
      <c r="F27" s="11"/>
      <c r="G27" s="11"/>
    </row>
  </sheetData>
  <mergeCells count="2">
    <mergeCell ref="B8:D8"/>
    <mergeCell ref="B3:D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C427A-629E-4C27-87B4-21766E37E9D1}">
  <dimension ref="A2:E23"/>
  <sheetViews>
    <sheetView showGridLines="0" zoomScale="115" zoomScaleNormal="115" workbookViewId="0">
      <selection activeCell="C5" sqref="C5"/>
    </sheetView>
  </sheetViews>
  <sheetFormatPr defaultRowHeight="15.6" x14ac:dyDescent="0.3"/>
  <cols>
    <col min="1" max="1" width="2.33203125" style="1" customWidth="1"/>
    <col min="2" max="2" width="56" style="1" bestFit="1" customWidth="1"/>
    <col min="3" max="3" width="11.44140625" style="1" bestFit="1" customWidth="1"/>
    <col min="4" max="5" width="18" style="1" bestFit="1" customWidth="1"/>
    <col min="6" max="6" width="8.88671875" style="1"/>
    <col min="7" max="7" width="5.44140625" style="1" bestFit="1" customWidth="1"/>
    <col min="8" max="8" width="9.33203125" style="1" bestFit="1" customWidth="1"/>
    <col min="9" max="16384" width="8.88671875" style="1"/>
  </cols>
  <sheetData>
    <row r="2" spans="2:5" x14ac:dyDescent="0.3">
      <c r="B2" s="42" t="s">
        <v>79</v>
      </c>
      <c r="C2" s="43">
        <v>46387</v>
      </c>
      <c r="D2" s="43">
        <f>EDATE(C2,12)</f>
        <v>46752</v>
      </c>
      <c r="E2" s="43">
        <f>EDATE(D2,12)</f>
        <v>47118</v>
      </c>
    </row>
    <row r="3" spans="2:5" ht="16.2" thickBot="1" x14ac:dyDescent="0.35">
      <c r="B3" s="20" t="s">
        <v>25</v>
      </c>
      <c r="C3" s="21"/>
      <c r="D3" s="21"/>
      <c r="E3" s="21"/>
    </row>
    <row r="4" spans="2:5" x14ac:dyDescent="0.3">
      <c r="B4" s="1" t="s">
        <v>80</v>
      </c>
      <c r="C4" s="1">
        <f>'Raw Data '!G3*(1+Assumptions!C5)</f>
        <v>1358.5600000000002</v>
      </c>
      <c r="D4" s="11">
        <f>C4*(1+Assumptions!C5)</f>
        <v>1521.5872000000004</v>
      </c>
      <c r="E4" s="11">
        <f>D4*(1+Assumptions!C5)</f>
        <v>1704.1776640000005</v>
      </c>
    </row>
    <row r="5" spans="2:5" x14ac:dyDescent="0.3">
      <c r="B5" s="1" t="s">
        <v>81</v>
      </c>
      <c r="C5" s="19">
        <f>'Raw Data '!G4*(1+Assumptions!C6)</f>
        <v>182.35018466611703</v>
      </c>
      <c r="D5" s="19">
        <f>C5*(1+Assumptions!C6)</f>
        <v>185.99718835943938</v>
      </c>
      <c r="E5" s="19">
        <f>D5*(1+Assumptions!C6)</f>
        <v>189.71713212662817</v>
      </c>
    </row>
    <row r="6" spans="2:5" x14ac:dyDescent="0.3">
      <c r="B6" s="1" t="s">
        <v>82</v>
      </c>
      <c r="C6" s="19">
        <f>C4*C5/10</f>
        <v>24773.366687999998</v>
      </c>
      <c r="D6" s="19">
        <f>D4*D5/10</f>
        <v>28301.094104371201</v>
      </c>
      <c r="E6" s="19">
        <f>E4*E5/10</f>
        <v>32331.169904833667</v>
      </c>
    </row>
    <row r="7" spans="2:5" x14ac:dyDescent="0.3">
      <c r="B7" s="17" t="s">
        <v>83</v>
      </c>
      <c r="C7" s="18"/>
      <c r="D7" s="18"/>
      <c r="E7" s="18"/>
    </row>
    <row r="8" spans="2:5" ht="16.2" thickBot="1" x14ac:dyDescent="0.35">
      <c r="B8" s="20" t="s">
        <v>25</v>
      </c>
      <c r="C8" s="21"/>
      <c r="D8" s="21"/>
      <c r="E8" s="21"/>
    </row>
    <row r="9" spans="2:5" x14ac:dyDescent="0.3">
      <c r="B9" s="1" t="s">
        <v>91</v>
      </c>
      <c r="C9" s="11">
        <f>('Raw Data '!G3-'Raw Data '!F3)*'Raw Data '!F4</f>
        <v>15842.356316725978</v>
      </c>
      <c r="D9" s="11">
        <f>(D4-C4)*C5</f>
        <v>29728.040025600036</v>
      </c>
      <c r="E9" s="11">
        <f>(E4-D4)*D5</f>
        <v>33961.312925245453</v>
      </c>
    </row>
    <row r="10" spans="2:5" x14ac:dyDescent="0.3">
      <c r="B10" s="1" t="s">
        <v>90</v>
      </c>
      <c r="C10" s="11">
        <f>('Raw Data '!G4-'Raw Data '!F4)*'Raw Data '!G3</f>
        <v>934.84368327397806</v>
      </c>
      <c r="D10" s="11">
        <f>(D5-C5)*D4</f>
        <v>5549.2341381120095</v>
      </c>
      <c r="E10" s="11">
        <f>(E5-D5)*E4</f>
        <v>6339.4450793791621</v>
      </c>
    </row>
    <row r="11" spans="2:5" x14ac:dyDescent="0.3">
      <c r="B11" s="1" t="s">
        <v>92</v>
      </c>
      <c r="C11" s="11">
        <f>C9+C10</f>
        <v>16777.199999999957</v>
      </c>
      <c r="D11" s="11">
        <f t="shared" ref="D11:E11" si="0">D9+D10</f>
        <v>35277.274163712049</v>
      </c>
      <c r="E11" s="11">
        <f t="shared" si="0"/>
        <v>40300.758004624615</v>
      </c>
    </row>
    <row r="12" spans="2:5" x14ac:dyDescent="0.3">
      <c r="B12" s="17" t="s">
        <v>84</v>
      </c>
      <c r="C12" s="18"/>
      <c r="D12" s="18"/>
      <c r="E12" s="18"/>
    </row>
    <row r="13" spans="2:5" ht="16.2" thickBot="1" x14ac:dyDescent="0.35">
      <c r="B13" s="20" t="s">
        <v>25</v>
      </c>
      <c r="C13" s="21"/>
      <c r="D13" s="21"/>
      <c r="E13" s="21"/>
    </row>
    <row r="14" spans="2:5" x14ac:dyDescent="0.3">
      <c r="B14" s="1" t="s">
        <v>85</v>
      </c>
      <c r="C14" s="19">
        <f>C6*Assumptions!C10</f>
        <v>11148.0150096</v>
      </c>
      <c r="D14" s="19">
        <f>$D$6*Assumptions!C10</f>
        <v>12735.492346967041</v>
      </c>
      <c r="E14" s="19">
        <f>$E$6*Assumptions!C10</f>
        <v>14549.02645717515</v>
      </c>
    </row>
    <row r="15" spans="2:5" x14ac:dyDescent="0.3">
      <c r="B15" s="1" t="s">
        <v>86</v>
      </c>
      <c r="C15" s="19">
        <f>C6*Assumptions!C11</f>
        <v>2725.07033568</v>
      </c>
      <c r="D15" s="19">
        <f>$D$6*Assumptions!C11</f>
        <v>3113.1203514808321</v>
      </c>
      <c r="E15" s="19">
        <f>$E$6*Assumptions!C11</f>
        <v>3556.4286895317032</v>
      </c>
    </row>
    <row r="16" spans="2:5" x14ac:dyDescent="0.3">
      <c r="B16" s="1" t="s">
        <v>87</v>
      </c>
      <c r="C16" s="19">
        <f>C6*Assumptions!C12</f>
        <v>5202.4070044799992</v>
      </c>
      <c r="D16" s="19">
        <f>$D$6*Assumptions!C12</f>
        <v>5943.2297619179517</v>
      </c>
      <c r="E16" s="19">
        <f>$E$6*Assumptions!C12</f>
        <v>6789.5456800150696</v>
      </c>
    </row>
    <row r="17" spans="1:5" x14ac:dyDescent="0.3">
      <c r="B17" s="1" t="s">
        <v>88</v>
      </c>
      <c r="C17" s="19">
        <f>C6-(C14+C15+C16)</f>
        <v>5697.8743382399989</v>
      </c>
      <c r="D17" s="19">
        <f>D6-(D14+D15+D16)</f>
        <v>6509.2516440053769</v>
      </c>
      <c r="E17" s="19">
        <f>E6-(E14+E15+E16)</f>
        <v>7436.1690781117431</v>
      </c>
    </row>
    <row r="18" spans="1:5" ht="16.2" thickBot="1" x14ac:dyDescent="0.35">
      <c r="B18" s="22" t="s">
        <v>89</v>
      </c>
      <c r="C18" s="23">
        <f>C17/C6</f>
        <v>0.22999999999999998</v>
      </c>
      <c r="D18" s="23">
        <f>D17/D6</f>
        <v>0.23</v>
      </c>
      <c r="E18" s="23">
        <f>E17/E6</f>
        <v>0.22999999999999998</v>
      </c>
    </row>
    <row r="19" spans="1:5" ht="16.2" thickTop="1" x14ac:dyDescent="0.3"/>
    <row r="21" spans="1:5" ht="28.8" x14ac:dyDescent="0.3">
      <c r="B21"/>
      <c r="C21" s="27" t="s">
        <v>102</v>
      </c>
    </row>
    <row r="22" spans="1:5" ht="29.4" customHeight="1" x14ac:dyDescent="0.3"/>
    <row r="23" spans="1:5" x14ac:dyDescent="0.3">
      <c r="A23" t="s">
        <v>103</v>
      </c>
    </row>
  </sheetData>
  <phoneticPr fontId="1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03A22-EF85-4803-9531-5FFFD8FAF5CE}">
  <dimension ref="B2:G10"/>
  <sheetViews>
    <sheetView showGridLines="0" tabSelected="1" zoomScaleNormal="100" workbookViewId="0">
      <selection activeCell="C10" sqref="C10"/>
    </sheetView>
  </sheetViews>
  <sheetFormatPr defaultRowHeight="15.6" x14ac:dyDescent="0.3"/>
  <cols>
    <col min="1" max="1" width="2.33203125" style="1" customWidth="1"/>
    <col min="2" max="2" width="28" style="1" bestFit="1" customWidth="1"/>
    <col min="3" max="7" width="16.33203125" style="1" bestFit="1" customWidth="1"/>
    <col min="8" max="16384" width="8.88671875" style="1"/>
  </cols>
  <sheetData>
    <row r="2" spans="2:7" x14ac:dyDescent="0.3">
      <c r="B2" s="12" t="s">
        <v>25</v>
      </c>
      <c r="C2" s="13">
        <v>44561</v>
      </c>
      <c r="D2" s="13">
        <f>EDATE(C2,12)</f>
        <v>44926</v>
      </c>
      <c r="E2" s="13">
        <f t="shared" ref="E2:G2" si="0">EDATE(D2,12)</f>
        <v>45291</v>
      </c>
      <c r="F2" s="13">
        <f t="shared" si="0"/>
        <v>45657</v>
      </c>
      <c r="G2" s="13">
        <f t="shared" si="0"/>
        <v>46022</v>
      </c>
    </row>
    <row r="3" spans="2:7" x14ac:dyDescent="0.3">
      <c r="B3" s="14" t="s">
        <v>17</v>
      </c>
      <c r="C3" s="15">
        <v>569</v>
      </c>
      <c r="D3" s="15">
        <v>802</v>
      </c>
      <c r="E3" s="15">
        <v>913</v>
      </c>
      <c r="F3" s="15">
        <v>1124</v>
      </c>
      <c r="G3" s="15">
        <v>1213</v>
      </c>
    </row>
    <row r="4" spans="2:7" x14ac:dyDescent="0.3">
      <c r="B4" s="14" t="s">
        <v>18</v>
      </c>
      <c r="C4" s="16">
        <f>C5/C3*10</f>
        <v>155.06555360281195</v>
      </c>
      <c r="D4" s="16">
        <f t="shared" ref="D4:G4" si="1">D5/D3*10</f>
        <v>164.25361596009975</v>
      </c>
      <c r="E4" s="16">
        <f t="shared" si="1"/>
        <v>175.71281489594742</v>
      </c>
      <c r="F4" s="16">
        <f t="shared" si="1"/>
        <v>178.00400355871886</v>
      </c>
      <c r="G4" s="16">
        <f t="shared" si="1"/>
        <v>178.77469084913434</v>
      </c>
    </row>
    <row r="5" spans="2:7" x14ac:dyDescent="0.3">
      <c r="B5" s="14" t="s">
        <v>19</v>
      </c>
      <c r="C5" s="16">
        <f>'Data Sheet '!G17</f>
        <v>8823.23</v>
      </c>
      <c r="D5" s="16">
        <f>'Data Sheet '!H17</f>
        <v>13173.14</v>
      </c>
      <c r="E5" s="16">
        <f>'Data Sheet '!I17</f>
        <v>16042.58</v>
      </c>
      <c r="F5" s="16">
        <f>'Data Sheet '!J17</f>
        <v>20007.650000000001</v>
      </c>
      <c r="G5" s="16">
        <f>'Data Sheet '!K17</f>
        <v>21685.37</v>
      </c>
    </row>
    <row r="6" spans="2:7" x14ac:dyDescent="0.3">
      <c r="B6" s="14" t="s">
        <v>20</v>
      </c>
      <c r="C6" s="16">
        <f>'Data Sheet '!G18+'Data Sheet '!G19</f>
        <v>4234.1000000000004</v>
      </c>
      <c r="D6" s="16">
        <f>'Data Sheet '!H18+'Data Sheet '!H19</f>
        <v>6950.17</v>
      </c>
      <c r="E6" s="16">
        <f>'Data Sheet '!I18+'Data Sheet '!I19</f>
        <v>7573.43</v>
      </c>
      <c r="F6" s="16">
        <f>'Data Sheet '!J18+'Data Sheet '!J19</f>
        <v>9054.6</v>
      </c>
      <c r="G6" s="16">
        <f>'Data Sheet '!K18+'Data Sheet '!K19</f>
        <v>9697.61</v>
      </c>
    </row>
    <row r="7" spans="2:7" x14ac:dyDescent="0.3">
      <c r="B7" s="14" t="s">
        <v>21</v>
      </c>
      <c r="C7" s="16">
        <f>'Data Sheet '!G22</f>
        <v>1015.43</v>
      </c>
      <c r="D7" s="16">
        <f>'Data Sheet '!H22</f>
        <v>1235.2</v>
      </c>
      <c r="E7" s="16">
        <f>'Data Sheet '!I22</f>
        <v>1447.18</v>
      </c>
      <c r="F7" s="16">
        <f>'Data Sheet '!J22</f>
        <v>1885.88</v>
      </c>
      <c r="G7" s="16">
        <f>'Data Sheet '!K22</f>
        <v>2201.2600000000002</v>
      </c>
    </row>
    <row r="8" spans="2:7" x14ac:dyDescent="0.3">
      <c r="B8" s="14" t="s">
        <v>22</v>
      </c>
      <c r="C8" s="16">
        <f>'Data Sheet '!G20+'Data Sheet '!G20+'Data Sheet '!G23+'Data Sheet '!G24</f>
        <v>2080.77</v>
      </c>
      <c r="D8" s="16">
        <f>'Data Sheet '!H20+'Data Sheet '!H20+'Data Sheet '!H23+'Data Sheet '!H24</f>
        <v>2820.96</v>
      </c>
      <c r="E8" s="16">
        <f>'Data Sheet '!I20+'Data Sheet '!I20+'Data Sheet '!I23+'Data Sheet '!I24</f>
        <v>3486.91</v>
      </c>
      <c r="F8" s="16">
        <f>'Data Sheet '!J20+'Data Sheet '!J20+'Data Sheet '!J23+'Data Sheet '!J24</f>
        <v>4347.76</v>
      </c>
      <c r="G8" s="16">
        <f>'Data Sheet '!K20+'Data Sheet '!K20+'Data Sheet '!K23+'Data Sheet '!K24</f>
        <v>4666.55</v>
      </c>
    </row>
    <row r="9" spans="2:7" x14ac:dyDescent="0.3">
      <c r="B9" s="14" t="s">
        <v>23</v>
      </c>
      <c r="C9" s="16">
        <f>C5- SUM(C6:C8)</f>
        <v>1492.9299999999985</v>
      </c>
      <c r="D9" s="16">
        <f t="shared" ref="D9:G9" si="2">D5- SUM(D6:D8)</f>
        <v>2166.8099999999995</v>
      </c>
      <c r="E9" s="16">
        <f t="shared" si="2"/>
        <v>3535.0599999999995</v>
      </c>
      <c r="F9" s="16">
        <f t="shared" si="2"/>
        <v>4719.4100000000017</v>
      </c>
      <c r="G9" s="16">
        <f t="shared" si="2"/>
        <v>5119.9499999999971</v>
      </c>
    </row>
    <row r="10" spans="2:7" x14ac:dyDescent="0.3">
      <c r="B10" s="14" t="s">
        <v>24</v>
      </c>
      <c r="C10" s="16">
        <f>'Data Sheet '!G30</f>
        <v>694.05</v>
      </c>
      <c r="D10" s="16">
        <f>'Data Sheet '!H30</f>
        <v>1497.43</v>
      </c>
      <c r="E10" s="16">
        <f>'Data Sheet '!I30</f>
        <v>2055.92</v>
      </c>
      <c r="F10" s="16">
        <f>'Data Sheet '!J30</f>
        <v>2594.63</v>
      </c>
      <c r="G10" s="16">
        <f>'Data Sheet '!K30</f>
        <v>3036.49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6584C-A7AF-4C51-8341-5ADBA6201418}">
  <dimension ref="A1:K93"/>
  <sheetViews>
    <sheetView topLeftCell="A46" workbookViewId="0">
      <selection activeCell="K59" sqref="K59"/>
    </sheetView>
  </sheetViews>
  <sheetFormatPr defaultColWidth="8.77734375" defaultRowHeight="14.4" x14ac:dyDescent="0.3"/>
  <cols>
    <col min="1" max="1" width="27.6640625" style="6" bestFit="1" customWidth="1"/>
    <col min="2" max="11" width="13.44140625" style="6" bestFit="1" customWidth="1"/>
    <col min="12" max="16384" width="8.77734375" style="6"/>
  </cols>
  <sheetData>
    <row r="1" spans="1:11" s="5" customFormat="1" x14ac:dyDescent="0.3">
      <c r="A1" s="5" t="s">
        <v>26</v>
      </c>
      <c r="B1" s="5" t="s">
        <v>27</v>
      </c>
      <c r="E1" s="55" t="str">
        <f>IF(B2&lt;&gt;B3, "A NEW VERSION OF THE WORKSHEET IS AVAILABLE", "")</f>
        <v/>
      </c>
      <c r="F1" s="55"/>
      <c r="G1" s="55"/>
      <c r="H1" s="55"/>
      <c r="I1" s="55"/>
      <c r="J1" s="55"/>
      <c r="K1" s="55"/>
    </row>
    <row r="2" spans="1:11" x14ac:dyDescent="0.3">
      <c r="A2" s="5" t="s">
        <v>28</v>
      </c>
      <c r="B2" s="6">
        <v>2.1</v>
      </c>
      <c r="E2" s="56" t="s">
        <v>29</v>
      </c>
      <c r="F2" s="56"/>
      <c r="G2" s="56"/>
      <c r="H2" s="56"/>
      <c r="I2" s="56"/>
      <c r="J2" s="56"/>
      <c r="K2" s="56"/>
    </row>
    <row r="3" spans="1:11" x14ac:dyDescent="0.3">
      <c r="A3" s="5" t="s">
        <v>30</v>
      </c>
      <c r="B3" s="6">
        <v>2.1</v>
      </c>
    </row>
    <row r="4" spans="1:11" x14ac:dyDescent="0.3">
      <c r="A4" s="5"/>
    </row>
    <row r="5" spans="1:11" x14ac:dyDescent="0.3">
      <c r="A5" s="5" t="s">
        <v>31</v>
      </c>
    </row>
    <row r="6" spans="1:11" x14ac:dyDescent="0.3">
      <c r="A6" s="6" t="s">
        <v>32</v>
      </c>
      <c r="B6" s="6">
        <f>IF(B9&gt;0, B9/B8, 0)</f>
        <v>338.31677473331939</v>
      </c>
    </row>
    <row r="7" spans="1:11" x14ac:dyDescent="0.3">
      <c r="A7" s="6" t="s">
        <v>33</v>
      </c>
      <c r="B7">
        <v>2</v>
      </c>
    </row>
    <row r="8" spans="1:11" x14ac:dyDescent="0.3">
      <c r="A8" s="6" t="s">
        <v>34</v>
      </c>
      <c r="B8">
        <v>478.1</v>
      </c>
    </row>
    <row r="9" spans="1:11" x14ac:dyDescent="0.3">
      <c r="A9" s="6" t="s">
        <v>35</v>
      </c>
      <c r="B9">
        <v>161749.25</v>
      </c>
    </row>
    <row r="15" spans="1:11" x14ac:dyDescent="0.3">
      <c r="A15" s="5" t="s">
        <v>36</v>
      </c>
    </row>
    <row r="16" spans="1:11" s="8" customFormat="1" x14ac:dyDescent="0.3">
      <c r="A16" s="7" t="s">
        <v>37</v>
      </c>
      <c r="B16" s="4">
        <v>42735</v>
      </c>
      <c r="C16" s="4">
        <v>43100</v>
      </c>
      <c r="D16" s="4">
        <v>43465</v>
      </c>
      <c r="E16" s="4">
        <v>43830</v>
      </c>
      <c r="F16" s="4">
        <v>44196</v>
      </c>
      <c r="G16" s="4">
        <v>44561</v>
      </c>
      <c r="H16" s="4">
        <v>44926</v>
      </c>
      <c r="I16" s="4">
        <v>45291</v>
      </c>
      <c r="J16" s="4">
        <v>45657</v>
      </c>
      <c r="K16" s="4">
        <v>46022</v>
      </c>
    </row>
    <row r="17" spans="1:11" s="9" customFormat="1" x14ac:dyDescent="0.3">
      <c r="A17" s="9" t="s">
        <v>38</v>
      </c>
      <c r="B17">
        <v>3861.18</v>
      </c>
      <c r="C17">
        <v>4003.54</v>
      </c>
      <c r="D17">
        <v>5105.26</v>
      </c>
      <c r="E17">
        <v>7129.58</v>
      </c>
      <c r="F17">
        <v>6450.14</v>
      </c>
      <c r="G17">
        <v>8823.23</v>
      </c>
      <c r="H17">
        <v>13173.14</v>
      </c>
      <c r="I17">
        <v>16042.58</v>
      </c>
      <c r="J17">
        <v>20007.650000000001</v>
      </c>
      <c r="K17">
        <v>21685.37</v>
      </c>
    </row>
    <row r="18" spans="1:11" s="9" customFormat="1" x14ac:dyDescent="0.3">
      <c r="A18" s="6" t="s">
        <v>39</v>
      </c>
      <c r="B18">
        <v>1769.74</v>
      </c>
      <c r="C18">
        <v>1883.28</v>
      </c>
      <c r="D18">
        <v>2306.5</v>
      </c>
      <c r="E18">
        <v>3363.29</v>
      </c>
      <c r="F18">
        <v>2781.1</v>
      </c>
      <c r="G18">
        <v>4134.38</v>
      </c>
      <c r="H18">
        <v>6605.66</v>
      </c>
      <c r="I18">
        <v>7489.16</v>
      </c>
      <c r="J18">
        <v>8979.66</v>
      </c>
      <c r="K18">
        <v>9706.52</v>
      </c>
    </row>
    <row r="19" spans="1:11" s="9" customFormat="1" x14ac:dyDescent="0.3">
      <c r="A19" s="6" t="s">
        <v>40</v>
      </c>
      <c r="B19">
        <v>31.86</v>
      </c>
      <c r="C19">
        <v>73.22</v>
      </c>
      <c r="D19">
        <v>62.4</v>
      </c>
      <c r="E19">
        <v>143.86000000000001</v>
      </c>
      <c r="F19">
        <v>17.16</v>
      </c>
      <c r="G19">
        <v>99.72</v>
      </c>
      <c r="H19">
        <v>344.51</v>
      </c>
      <c r="I19">
        <v>84.27</v>
      </c>
      <c r="J19">
        <v>74.94</v>
      </c>
      <c r="K19">
        <v>-8.91</v>
      </c>
    </row>
    <row r="20" spans="1:11" s="9" customFormat="1" x14ac:dyDescent="0.3">
      <c r="A20" s="6" t="s">
        <v>41</v>
      </c>
      <c r="B20">
        <v>156.22</v>
      </c>
      <c r="C20">
        <v>160.04</v>
      </c>
      <c r="D20">
        <v>194.8</v>
      </c>
      <c r="E20">
        <v>279.06</v>
      </c>
      <c r="F20">
        <v>267</v>
      </c>
      <c r="G20">
        <v>329.93</v>
      </c>
      <c r="H20">
        <v>479.22</v>
      </c>
      <c r="I20">
        <v>550.29</v>
      </c>
      <c r="J20">
        <v>629.51</v>
      </c>
      <c r="K20">
        <v>636.55999999999995</v>
      </c>
    </row>
    <row r="21" spans="1:11" s="9" customFormat="1" x14ac:dyDescent="0.3">
      <c r="A21" s="6" t="s">
        <v>42</v>
      </c>
      <c r="B21">
        <v>154.66</v>
      </c>
      <c r="C21">
        <v>154.49</v>
      </c>
      <c r="D21">
        <v>191.58</v>
      </c>
      <c r="E21">
        <v>245.4</v>
      </c>
      <c r="F21">
        <v>264.33</v>
      </c>
      <c r="G21">
        <v>328.35</v>
      </c>
      <c r="H21">
        <v>472.05</v>
      </c>
      <c r="I21">
        <v>537.15</v>
      </c>
      <c r="J21">
        <v>680.53</v>
      </c>
      <c r="K21">
        <v>668.95</v>
      </c>
    </row>
    <row r="22" spans="1:11" s="9" customFormat="1" x14ac:dyDescent="0.3">
      <c r="A22" s="6" t="s">
        <v>21</v>
      </c>
      <c r="B22">
        <v>421.45</v>
      </c>
      <c r="C22">
        <v>463.18</v>
      </c>
      <c r="D22">
        <v>583.27</v>
      </c>
      <c r="E22">
        <v>811.58</v>
      </c>
      <c r="F22">
        <v>890.1</v>
      </c>
      <c r="G22">
        <v>1015.43</v>
      </c>
      <c r="H22">
        <v>1235.2</v>
      </c>
      <c r="I22">
        <v>1447.18</v>
      </c>
      <c r="J22">
        <v>1885.88</v>
      </c>
      <c r="K22">
        <v>2201.2600000000002</v>
      </c>
    </row>
    <row r="23" spans="1:11" s="9" customFormat="1" x14ac:dyDescent="0.3">
      <c r="A23" s="6" t="s">
        <v>43</v>
      </c>
      <c r="B23">
        <v>542.99</v>
      </c>
      <c r="C23">
        <v>525.91999999999996</v>
      </c>
      <c r="D23">
        <v>1692.78</v>
      </c>
      <c r="E23">
        <v>2369.9899999999998</v>
      </c>
      <c r="F23">
        <v>2091.63</v>
      </c>
      <c r="G23">
        <v>1358.89</v>
      </c>
      <c r="H23">
        <v>1777.38</v>
      </c>
      <c r="I23">
        <v>2253.8200000000002</v>
      </c>
      <c r="J23">
        <v>2920.33</v>
      </c>
      <c r="K23">
        <v>3250.63</v>
      </c>
    </row>
    <row r="24" spans="1:11" s="9" customFormat="1" x14ac:dyDescent="0.3">
      <c r="A24" s="6" t="s">
        <v>44</v>
      </c>
      <c r="B24">
        <v>38.47</v>
      </c>
      <c r="C24">
        <v>51.52</v>
      </c>
      <c r="D24">
        <v>-837.07</v>
      </c>
      <c r="E24">
        <v>-1258.2</v>
      </c>
      <c r="F24">
        <v>-1041.82</v>
      </c>
      <c r="G24">
        <v>62.02</v>
      </c>
      <c r="H24">
        <v>85.14</v>
      </c>
      <c r="I24">
        <v>132.51</v>
      </c>
      <c r="J24">
        <v>168.41</v>
      </c>
      <c r="K24">
        <v>142.80000000000001</v>
      </c>
    </row>
    <row r="25" spans="1:11" s="9" customFormat="1" x14ac:dyDescent="0.3">
      <c r="A25" s="9" t="s">
        <v>45</v>
      </c>
      <c r="B25">
        <v>26.77</v>
      </c>
      <c r="C25">
        <v>13.86</v>
      </c>
      <c r="D25">
        <v>5.87</v>
      </c>
      <c r="E25">
        <v>46.89</v>
      </c>
      <c r="F25">
        <v>-30.01</v>
      </c>
      <c r="G25">
        <v>50.89</v>
      </c>
      <c r="H25">
        <v>-18.079999999999998</v>
      </c>
      <c r="I25">
        <v>-4.87</v>
      </c>
      <c r="J25">
        <v>45.07</v>
      </c>
      <c r="K25">
        <v>352.35</v>
      </c>
    </row>
    <row r="26" spans="1:11" s="9" customFormat="1" x14ac:dyDescent="0.3">
      <c r="A26" s="9" t="s">
        <v>46</v>
      </c>
      <c r="B26">
        <v>322.20999999999998</v>
      </c>
      <c r="C26">
        <v>346.64</v>
      </c>
      <c r="D26">
        <v>385.07</v>
      </c>
      <c r="E26">
        <v>488.63</v>
      </c>
      <c r="F26">
        <v>528.70000000000005</v>
      </c>
      <c r="G26">
        <v>531.26</v>
      </c>
      <c r="H26">
        <v>617.19000000000005</v>
      </c>
      <c r="I26">
        <v>680.91</v>
      </c>
      <c r="J26">
        <v>947.39</v>
      </c>
      <c r="K26">
        <v>1216.46</v>
      </c>
    </row>
    <row r="27" spans="1:11" s="9" customFormat="1" x14ac:dyDescent="0.3">
      <c r="A27" s="9" t="s">
        <v>47</v>
      </c>
      <c r="B27">
        <v>434.74</v>
      </c>
      <c r="C27">
        <v>214.59</v>
      </c>
      <c r="D27">
        <v>222.8</v>
      </c>
      <c r="E27">
        <v>324.31</v>
      </c>
      <c r="F27">
        <v>293.74</v>
      </c>
      <c r="G27">
        <v>206.97</v>
      </c>
      <c r="H27">
        <v>204.09</v>
      </c>
      <c r="I27">
        <v>291.60000000000002</v>
      </c>
      <c r="J27">
        <v>482.86</v>
      </c>
      <c r="K27">
        <v>195.98</v>
      </c>
    </row>
    <row r="28" spans="1:11" s="9" customFormat="1" x14ac:dyDescent="0.3">
      <c r="A28" s="9" t="s">
        <v>48</v>
      </c>
      <c r="B28">
        <v>79.33</v>
      </c>
      <c r="C28">
        <v>290.95999999999998</v>
      </c>
      <c r="D28">
        <v>433.8</v>
      </c>
      <c r="E28">
        <v>696.27</v>
      </c>
      <c r="F28">
        <v>362.51</v>
      </c>
      <c r="G28">
        <v>1006.61</v>
      </c>
      <c r="H28">
        <v>2023.64</v>
      </c>
      <c r="I28">
        <v>2739.36</v>
      </c>
      <c r="J28">
        <v>3433.09</v>
      </c>
      <c r="K28">
        <v>4009.65</v>
      </c>
    </row>
    <row r="29" spans="1:11" s="9" customFormat="1" x14ac:dyDescent="0.3">
      <c r="A29" s="9" t="s">
        <v>49</v>
      </c>
      <c r="B29">
        <v>31.3</v>
      </c>
      <c r="C29">
        <v>76.900000000000006</v>
      </c>
      <c r="D29">
        <v>133.93</v>
      </c>
      <c r="E29">
        <v>224.07</v>
      </c>
      <c r="F29">
        <v>5.23</v>
      </c>
      <c r="G29">
        <v>260.55</v>
      </c>
      <c r="H29">
        <v>473.53</v>
      </c>
      <c r="I29">
        <v>637.54999999999995</v>
      </c>
      <c r="J29">
        <v>798.8</v>
      </c>
      <c r="K29">
        <v>947.61</v>
      </c>
    </row>
    <row r="30" spans="1:11" s="9" customFormat="1" x14ac:dyDescent="0.3">
      <c r="A30" s="9" t="s">
        <v>50</v>
      </c>
      <c r="B30">
        <v>42.38</v>
      </c>
      <c r="C30">
        <v>210.15</v>
      </c>
      <c r="D30">
        <v>292.83999999999997</v>
      </c>
      <c r="E30">
        <v>468.98</v>
      </c>
      <c r="F30">
        <v>329</v>
      </c>
      <c r="G30">
        <v>694.05</v>
      </c>
      <c r="H30">
        <v>1497.43</v>
      </c>
      <c r="I30">
        <v>2055.92</v>
      </c>
      <c r="J30">
        <v>2594.63</v>
      </c>
      <c r="K30">
        <v>3036.49</v>
      </c>
    </row>
    <row r="31" spans="1:11" s="9" customFormat="1" x14ac:dyDescent="0.3">
      <c r="A31" s="9" t="s">
        <v>51</v>
      </c>
      <c r="C31">
        <v>45.65</v>
      </c>
      <c r="D31">
        <v>45.66</v>
      </c>
      <c r="E31">
        <v>72.17</v>
      </c>
      <c r="F31">
        <v>72.17</v>
      </c>
      <c r="G31">
        <v>108.26</v>
      </c>
      <c r="H31">
        <v>227.34</v>
      </c>
      <c r="I31">
        <v>324.8</v>
      </c>
      <c r="J31">
        <v>338.15</v>
      </c>
      <c r="K31">
        <v>507.3</v>
      </c>
    </row>
    <row r="32" spans="1:11" s="9" customFormat="1" x14ac:dyDescent="0.3"/>
    <row r="33" spans="1:11" x14ac:dyDescent="0.3">
      <c r="A33" s="9"/>
    </row>
    <row r="34" spans="1:11" x14ac:dyDescent="0.3">
      <c r="A34" s="9"/>
    </row>
    <row r="35" spans="1:11" x14ac:dyDescent="0.3">
      <c r="A35" s="9"/>
    </row>
    <row r="36" spans="1:11" x14ac:dyDescent="0.3">
      <c r="A36" s="9"/>
    </row>
    <row r="37" spans="1:11" x14ac:dyDescent="0.3">
      <c r="A37" s="9"/>
    </row>
    <row r="38" spans="1:11" x14ac:dyDescent="0.3">
      <c r="A38" s="9"/>
    </row>
    <row r="39" spans="1:11" x14ac:dyDescent="0.3">
      <c r="A39" s="9"/>
    </row>
    <row r="40" spans="1:11" x14ac:dyDescent="0.3">
      <c r="A40" s="5" t="s">
        <v>52</v>
      </c>
    </row>
    <row r="41" spans="1:11" s="8" customFormat="1" x14ac:dyDescent="0.3">
      <c r="A41" s="7" t="s">
        <v>37</v>
      </c>
      <c r="B41" s="4">
        <v>45291</v>
      </c>
      <c r="C41" s="4">
        <v>45382</v>
      </c>
      <c r="D41" s="4">
        <v>45473</v>
      </c>
      <c r="E41" s="4">
        <v>45565</v>
      </c>
      <c r="F41" s="4">
        <v>45657</v>
      </c>
      <c r="G41" s="4">
        <v>45747</v>
      </c>
      <c r="H41" s="4">
        <v>45838</v>
      </c>
      <c r="I41" s="4">
        <v>45930</v>
      </c>
      <c r="J41" s="4">
        <v>46022</v>
      </c>
      <c r="K41" s="4">
        <v>46112</v>
      </c>
    </row>
    <row r="42" spans="1:11" s="9" customFormat="1" x14ac:dyDescent="0.3">
      <c r="A42" s="9" t="s">
        <v>38</v>
      </c>
      <c r="B42">
        <v>2667.69</v>
      </c>
      <c r="C42">
        <v>4317.3100000000004</v>
      </c>
      <c r="D42">
        <v>7196.86</v>
      </c>
      <c r="E42">
        <v>4804.68</v>
      </c>
      <c r="F42">
        <v>3688.79</v>
      </c>
      <c r="G42">
        <v>5566.94</v>
      </c>
      <c r="H42">
        <v>7017.37</v>
      </c>
      <c r="I42">
        <v>4896.6499999999996</v>
      </c>
      <c r="J42">
        <v>4204.42</v>
      </c>
      <c r="K42">
        <v>6574.19</v>
      </c>
    </row>
    <row r="43" spans="1:11" s="9" customFormat="1" x14ac:dyDescent="0.3">
      <c r="A43" s="9" t="s">
        <v>53</v>
      </c>
      <c r="B43">
        <v>2249.4</v>
      </c>
      <c r="C43">
        <v>3328.7</v>
      </c>
      <c r="D43">
        <v>5206.18</v>
      </c>
      <c r="E43">
        <v>3653.65</v>
      </c>
      <c r="F43">
        <v>3109.5</v>
      </c>
      <c r="G43">
        <v>4303.5600000000004</v>
      </c>
      <c r="H43">
        <v>5019.78</v>
      </c>
      <c r="I43">
        <v>3750.96</v>
      </c>
      <c r="J43">
        <v>3567.76</v>
      </c>
      <c r="K43">
        <v>5049.21</v>
      </c>
    </row>
    <row r="44" spans="1:11" s="9" customFormat="1" x14ac:dyDescent="0.3">
      <c r="A44" s="9" t="s">
        <v>45</v>
      </c>
      <c r="B44">
        <v>9.32</v>
      </c>
      <c r="C44">
        <v>8.35</v>
      </c>
      <c r="D44">
        <v>44.03</v>
      </c>
      <c r="E44">
        <v>24.25</v>
      </c>
      <c r="F44">
        <v>44.64</v>
      </c>
      <c r="G44">
        <v>28.06</v>
      </c>
      <c r="H44">
        <v>77.16</v>
      </c>
      <c r="I44">
        <v>148.03</v>
      </c>
      <c r="J44">
        <v>99.11</v>
      </c>
      <c r="K44">
        <v>43.53</v>
      </c>
    </row>
    <row r="45" spans="1:11" s="9" customFormat="1" x14ac:dyDescent="0.3">
      <c r="A45" s="9" t="s">
        <v>46</v>
      </c>
      <c r="B45">
        <v>165.97</v>
      </c>
      <c r="C45">
        <v>187.52</v>
      </c>
      <c r="D45">
        <v>242.48</v>
      </c>
      <c r="E45">
        <v>256.61</v>
      </c>
      <c r="F45">
        <v>260.77999999999997</v>
      </c>
      <c r="G45">
        <v>272.51</v>
      </c>
      <c r="H45">
        <v>306.14999999999998</v>
      </c>
      <c r="I45">
        <v>307.60000000000002</v>
      </c>
      <c r="J45">
        <v>330.2</v>
      </c>
      <c r="K45">
        <v>356.79</v>
      </c>
    </row>
    <row r="46" spans="1:11" s="9" customFormat="1" x14ac:dyDescent="0.3">
      <c r="A46" s="9" t="s">
        <v>47</v>
      </c>
      <c r="B46">
        <v>73.66</v>
      </c>
      <c r="C46">
        <v>93.69</v>
      </c>
      <c r="D46">
        <v>129.16</v>
      </c>
      <c r="E46">
        <v>118.54</v>
      </c>
      <c r="F46">
        <v>109.01</v>
      </c>
      <c r="G46">
        <v>41.12</v>
      </c>
      <c r="H46">
        <v>36.549999999999997</v>
      </c>
      <c r="I46">
        <v>45.21</v>
      </c>
      <c r="J46">
        <v>46.69</v>
      </c>
      <c r="K46">
        <v>48.53</v>
      </c>
    </row>
    <row r="47" spans="1:11" s="9" customFormat="1" x14ac:dyDescent="0.3">
      <c r="A47" s="9" t="s">
        <v>48</v>
      </c>
      <c r="B47">
        <v>187.98</v>
      </c>
      <c r="C47">
        <v>715.75</v>
      </c>
      <c r="D47">
        <v>1663.07</v>
      </c>
      <c r="E47">
        <v>800.13</v>
      </c>
      <c r="F47">
        <v>254.14</v>
      </c>
      <c r="G47">
        <v>977.81</v>
      </c>
      <c r="H47">
        <v>1732.05</v>
      </c>
      <c r="I47">
        <v>940.91</v>
      </c>
      <c r="J47">
        <v>358.88</v>
      </c>
      <c r="K47">
        <v>1163.19</v>
      </c>
    </row>
    <row r="48" spans="1:11" s="9" customFormat="1" x14ac:dyDescent="0.3">
      <c r="A48" s="9" t="s">
        <v>49</v>
      </c>
      <c r="B48">
        <v>44.22</v>
      </c>
      <c r="C48">
        <v>167.77</v>
      </c>
      <c r="D48">
        <v>401.24</v>
      </c>
      <c r="E48">
        <v>171.3</v>
      </c>
      <c r="F48">
        <v>58.5</v>
      </c>
      <c r="G48">
        <v>246.45</v>
      </c>
      <c r="H48">
        <v>406.55</v>
      </c>
      <c r="I48">
        <v>195.72</v>
      </c>
      <c r="J48">
        <v>98.88</v>
      </c>
      <c r="K48">
        <v>284.48</v>
      </c>
    </row>
    <row r="49" spans="1:11" s="9" customFormat="1" x14ac:dyDescent="0.3">
      <c r="A49" s="9" t="s">
        <v>50</v>
      </c>
      <c r="B49">
        <v>131.97</v>
      </c>
      <c r="C49">
        <v>537.27</v>
      </c>
      <c r="D49">
        <v>1252.5999999999999</v>
      </c>
      <c r="E49">
        <v>619.61</v>
      </c>
      <c r="F49">
        <v>185.15</v>
      </c>
      <c r="G49">
        <v>726.49</v>
      </c>
      <c r="H49">
        <v>1317.02</v>
      </c>
      <c r="I49">
        <v>741.19</v>
      </c>
      <c r="J49">
        <v>251.79</v>
      </c>
      <c r="K49">
        <v>872.36</v>
      </c>
    </row>
    <row r="50" spans="1:11" x14ac:dyDescent="0.3">
      <c r="A50" s="9" t="s">
        <v>54</v>
      </c>
      <c r="B50">
        <v>418.29</v>
      </c>
      <c r="C50">
        <v>988.61</v>
      </c>
      <c r="D50">
        <v>1990.68</v>
      </c>
      <c r="E50">
        <v>1151.03</v>
      </c>
      <c r="F50">
        <v>579.29</v>
      </c>
      <c r="G50">
        <v>1263.3800000000001</v>
      </c>
      <c r="H50">
        <v>1997.59</v>
      </c>
      <c r="I50">
        <v>1145.69</v>
      </c>
      <c r="J50">
        <v>636.66</v>
      </c>
      <c r="K50">
        <v>1524.98</v>
      </c>
    </row>
    <row r="51" spans="1:11" x14ac:dyDescent="0.3">
      <c r="A51" s="9"/>
    </row>
    <row r="52" spans="1:11" x14ac:dyDescent="0.3">
      <c r="A52" s="9"/>
    </row>
    <row r="53" spans="1:11" x14ac:dyDescent="0.3">
      <c r="A53" s="9"/>
    </row>
    <row r="54" spans="1:11" x14ac:dyDescent="0.3">
      <c r="A54" s="9"/>
    </row>
    <row r="55" spans="1:11" x14ac:dyDescent="0.3">
      <c r="A55" s="5" t="s">
        <v>55</v>
      </c>
    </row>
    <row r="56" spans="1:11" s="8" customFormat="1" x14ac:dyDescent="0.3">
      <c r="A56" s="7" t="s">
        <v>37</v>
      </c>
      <c r="B56" s="4">
        <v>42735</v>
      </c>
      <c r="C56" s="4">
        <v>43100</v>
      </c>
      <c r="D56" s="4">
        <v>43465</v>
      </c>
      <c r="E56" s="4">
        <v>43830</v>
      </c>
      <c r="F56" s="4">
        <v>44196</v>
      </c>
      <c r="G56" s="4">
        <v>44561</v>
      </c>
      <c r="H56" s="4">
        <v>44926</v>
      </c>
      <c r="I56" s="4">
        <v>45291</v>
      </c>
      <c r="J56" s="4">
        <v>45657</v>
      </c>
      <c r="K56" s="4">
        <v>46022</v>
      </c>
    </row>
    <row r="57" spans="1:11" x14ac:dyDescent="0.3">
      <c r="A57" s="9" t="s">
        <v>56</v>
      </c>
      <c r="B57">
        <v>182.31</v>
      </c>
      <c r="C57">
        <v>182.59</v>
      </c>
      <c r="D57">
        <v>182.64</v>
      </c>
      <c r="E57">
        <v>288.69</v>
      </c>
      <c r="F57">
        <v>288.69</v>
      </c>
      <c r="G57">
        <v>433.03</v>
      </c>
      <c r="H57">
        <v>649.54999999999995</v>
      </c>
      <c r="I57">
        <v>649.61</v>
      </c>
      <c r="J57">
        <v>676.3</v>
      </c>
      <c r="K57">
        <v>676.4</v>
      </c>
    </row>
    <row r="58" spans="1:11" x14ac:dyDescent="0.3">
      <c r="A58" s="9" t="s">
        <v>57</v>
      </c>
      <c r="B58">
        <v>1511.28</v>
      </c>
      <c r="C58">
        <v>1586.84</v>
      </c>
      <c r="D58">
        <v>1815.86</v>
      </c>
      <c r="E58">
        <v>3039.73</v>
      </c>
      <c r="F58">
        <v>3235.31</v>
      </c>
      <c r="G58">
        <v>3646.88</v>
      </c>
      <c r="H58">
        <v>4452.83</v>
      </c>
      <c r="I58">
        <v>6286.89</v>
      </c>
      <c r="J58">
        <v>15933.53</v>
      </c>
      <c r="K58">
        <v>18902.3</v>
      </c>
    </row>
    <row r="59" spans="1:11" x14ac:dyDescent="0.3">
      <c r="A59" s="9" t="s">
        <v>58</v>
      </c>
      <c r="B59">
        <v>2215.4</v>
      </c>
      <c r="C59">
        <v>2653.7</v>
      </c>
      <c r="D59">
        <v>2807.87</v>
      </c>
      <c r="E59">
        <v>3417.18</v>
      </c>
      <c r="F59">
        <v>3216.13</v>
      </c>
      <c r="G59">
        <v>3386.76</v>
      </c>
      <c r="H59">
        <v>3883.81</v>
      </c>
      <c r="I59">
        <v>5431.31</v>
      </c>
      <c r="J59">
        <v>2826.25</v>
      </c>
      <c r="K59">
        <v>2508.1799999999998</v>
      </c>
    </row>
    <row r="60" spans="1:11" x14ac:dyDescent="0.3">
      <c r="A60" s="9" t="s">
        <v>59</v>
      </c>
      <c r="B60">
        <v>915.43</v>
      </c>
      <c r="C60">
        <v>852.48</v>
      </c>
      <c r="D60">
        <v>1191.6400000000001</v>
      </c>
      <c r="E60">
        <v>1629.98</v>
      </c>
      <c r="F60">
        <v>1707.24</v>
      </c>
      <c r="G60">
        <v>2112.81</v>
      </c>
      <c r="H60">
        <v>2632.05</v>
      </c>
      <c r="I60">
        <v>2819.37</v>
      </c>
      <c r="J60">
        <v>3688.21</v>
      </c>
      <c r="K60">
        <v>3453.84</v>
      </c>
    </row>
    <row r="61" spans="1:11" s="5" customFormat="1" x14ac:dyDescent="0.3">
      <c r="A61" s="5" t="s">
        <v>60</v>
      </c>
      <c r="B61">
        <v>4824.42</v>
      </c>
      <c r="C61">
        <v>5275.61</v>
      </c>
      <c r="D61">
        <v>5998.01</v>
      </c>
      <c r="E61">
        <v>8375.58</v>
      </c>
      <c r="F61">
        <v>8447.3700000000008</v>
      </c>
      <c r="G61">
        <v>9579.48</v>
      </c>
      <c r="H61">
        <v>11618.24</v>
      </c>
      <c r="I61">
        <v>15187.18</v>
      </c>
      <c r="J61">
        <v>23124.29</v>
      </c>
      <c r="K61">
        <v>25540.720000000001</v>
      </c>
    </row>
    <row r="62" spans="1:11" x14ac:dyDescent="0.3">
      <c r="A62" s="9" t="s">
        <v>61</v>
      </c>
      <c r="B62">
        <v>3715.5</v>
      </c>
      <c r="C62">
        <v>3980.52</v>
      </c>
      <c r="D62">
        <v>4386.97</v>
      </c>
      <c r="E62">
        <v>6479.04</v>
      </c>
      <c r="F62">
        <v>6408.62</v>
      </c>
      <c r="G62">
        <v>6310.78</v>
      </c>
      <c r="H62">
        <v>6932.22</v>
      </c>
      <c r="I62">
        <v>8409.17</v>
      </c>
      <c r="J62">
        <v>13401.74</v>
      </c>
      <c r="K62">
        <v>16758.93</v>
      </c>
    </row>
    <row r="63" spans="1:11" x14ac:dyDescent="0.3">
      <c r="A63" s="9" t="s">
        <v>62</v>
      </c>
      <c r="B63">
        <v>95.58</v>
      </c>
      <c r="C63">
        <v>145.44</v>
      </c>
      <c r="D63">
        <v>352.36</v>
      </c>
      <c r="E63">
        <v>63.82</v>
      </c>
      <c r="F63">
        <v>66.819999999999993</v>
      </c>
      <c r="G63">
        <v>496.61</v>
      </c>
      <c r="H63">
        <v>606.63</v>
      </c>
      <c r="I63">
        <v>1922.22</v>
      </c>
      <c r="J63">
        <v>1166.71</v>
      </c>
      <c r="K63">
        <v>270.79000000000002</v>
      </c>
    </row>
    <row r="64" spans="1:11" x14ac:dyDescent="0.3">
      <c r="A64" s="9" t="s">
        <v>63</v>
      </c>
      <c r="B64">
        <v>6.87</v>
      </c>
      <c r="C64">
        <v>8.23</v>
      </c>
      <c r="D64">
        <v>11.24</v>
      </c>
      <c r="H64">
        <v>0.01</v>
      </c>
      <c r="I64">
        <v>21.08</v>
      </c>
      <c r="J64">
        <v>59.5</v>
      </c>
      <c r="K64">
        <v>174.28</v>
      </c>
    </row>
    <row r="65" spans="1:11" x14ac:dyDescent="0.3">
      <c r="A65" s="9" t="s">
        <v>64</v>
      </c>
      <c r="B65">
        <v>1006.47</v>
      </c>
      <c r="C65">
        <v>1141.42</v>
      </c>
      <c r="D65">
        <v>1247.44</v>
      </c>
      <c r="E65">
        <v>1832.72</v>
      </c>
      <c r="F65">
        <v>1971.93</v>
      </c>
      <c r="G65">
        <v>2772.09</v>
      </c>
      <c r="H65">
        <v>4079.38</v>
      </c>
      <c r="I65">
        <v>4834.71</v>
      </c>
      <c r="J65">
        <v>8496.34</v>
      </c>
      <c r="K65">
        <v>8336.7199999999993</v>
      </c>
    </row>
    <row r="66" spans="1:11" s="5" customFormat="1" x14ac:dyDescent="0.3">
      <c r="A66" s="5" t="s">
        <v>60</v>
      </c>
      <c r="B66">
        <v>4824.42</v>
      </c>
      <c r="C66">
        <v>5275.61</v>
      </c>
      <c r="D66">
        <v>5998.01</v>
      </c>
      <c r="E66">
        <v>8375.58</v>
      </c>
      <c r="F66">
        <v>8447.3700000000008</v>
      </c>
      <c r="G66">
        <v>9579.48</v>
      </c>
      <c r="H66">
        <v>11618.24</v>
      </c>
      <c r="I66">
        <v>15187.18</v>
      </c>
      <c r="J66">
        <v>23124.29</v>
      </c>
      <c r="K66">
        <v>25540.720000000001</v>
      </c>
    </row>
    <row r="67" spans="1:11" s="9" customFormat="1" x14ac:dyDescent="0.3">
      <c r="A67" s="9" t="s">
        <v>65</v>
      </c>
      <c r="B67">
        <v>131.35</v>
      </c>
      <c r="C67">
        <v>150.25</v>
      </c>
      <c r="D67">
        <v>128.03</v>
      </c>
      <c r="E67">
        <v>172.56</v>
      </c>
      <c r="F67">
        <v>241.8</v>
      </c>
      <c r="G67">
        <v>221.25</v>
      </c>
      <c r="H67">
        <v>299.33999999999997</v>
      </c>
      <c r="I67">
        <v>359.39</v>
      </c>
      <c r="J67">
        <v>845.84</v>
      </c>
      <c r="K67">
        <v>1249.03</v>
      </c>
    </row>
    <row r="68" spans="1:11" x14ac:dyDescent="0.3">
      <c r="A68" s="9" t="s">
        <v>66</v>
      </c>
      <c r="B68">
        <v>489.93</v>
      </c>
      <c r="C68">
        <v>438.89</v>
      </c>
      <c r="D68">
        <v>578.4</v>
      </c>
      <c r="E68">
        <v>881.51</v>
      </c>
      <c r="F68">
        <v>928.8</v>
      </c>
      <c r="G68">
        <v>1448.09</v>
      </c>
      <c r="H68">
        <v>1993.89</v>
      </c>
      <c r="I68">
        <v>2150.5300000000002</v>
      </c>
      <c r="J68">
        <v>2791.23</v>
      </c>
      <c r="K68">
        <v>2951.79</v>
      </c>
    </row>
    <row r="69" spans="1:11" x14ac:dyDescent="0.3">
      <c r="A69" s="6" t="s">
        <v>67</v>
      </c>
      <c r="B69">
        <v>65.7</v>
      </c>
      <c r="C69">
        <v>94.46</v>
      </c>
      <c r="D69">
        <v>93.48</v>
      </c>
      <c r="E69">
        <v>171.08</v>
      </c>
      <c r="F69">
        <v>190.05</v>
      </c>
      <c r="G69">
        <v>336.62</v>
      </c>
      <c r="H69">
        <v>285.27</v>
      </c>
      <c r="I69">
        <v>459.86</v>
      </c>
      <c r="J69">
        <v>2450.0500000000002</v>
      </c>
      <c r="K69">
        <v>1998.49</v>
      </c>
    </row>
    <row r="70" spans="1:11" x14ac:dyDescent="0.3">
      <c r="A70" s="6" t="s">
        <v>68</v>
      </c>
      <c r="B70">
        <v>182312525</v>
      </c>
      <c r="C70">
        <v>182586940</v>
      </c>
      <c r="D70">
        <v>182641940</v>
      </c>
      <c r="E70">
        <v>288688720</v>
      </c>
      <c r="F70">
        <v>288688720</v>
      </c>
      <c r="G70">
        <v>433033080</v>
      </c>
      <c r="H70">
        <v>649549620</v>
      </c>
      <c r="I70">
        <v>1299214976</v>
      </c>
      <c r="J70">
        <v>3381510000</v>
      </c>
      <c r="K70">
        <v>3381988769</v>
      </c>
    </row>
    <row r="71" spans="1:11" x14ac:dyDescent="0.3">
      <c r="A71" s="6" t="s">
        <v>69</v>
      </c>
      <c r="E71">
        <v>91327613</v>
      </c>
    </row>
    <row r="72" spans="1:11" x14ac:dyDescent="0.3">
      <c r="A72" s="6" t="s">
        <v>70</v>
      </c>
      <c r="B72">
        <v>10</v>
      </c>
      <c r="C72">
        <v>10</v>
      </c>
      <c r="D72">
        <v>10</v>
      </c>
      <c r="E72">
        <v>10</v>
      </c>
      <c r="F72">
        <v>10</v>
      </c>
      <c r="G72">
        <v>10</v>
      </c>
      <c r="H72">
        <v>10</v>
      </c>
      <c r="I72">
        <v>5</v>
      </c>
      <c r="J72">
        <v>2</v>
      </c>
      <c r="K72">
        <v>2</v>
      </c>
    </row>
    <row r="74" spans="1:11" x14ac:dyDescent="0.3">
      <c r="A74" s="9"/>
    </row>
    <row r="75" spans="1:11" x14ac:dyDescent="0.3">
      <c r="A75" s="9"/>
    </row>
    <row r="76" spans="1:11" x14ac:dyDescent="0.3">
      <c r="A76" s="9"/>
    </row>
    <row r="77" spans="1:11" x14ac:dyDescent="0.3">
      <c r="A77" s="9"/>
    </row>
    <row r="78" spans="1:11" x14ac:dyDescent="0.3">
      <c r="A78" s="9"/>
    </row>
    <row r="79" spans="1:11" x14ac:dyDescent="0.3">
      <c r="A79" s="9"/>
    </row>
    <row r="80" spans="1:11" x14ac:dyDescent="0.3">
      <c r="A80" s="5" t="s">
        <v>71</v>
      </c>
    </row>
    <row r="81" spans="1:11" s="8" customFormat="1" x14ac:dyDescent="0.3">
      <c r="A81" s="7" t="s">
        <v>37</v>
      </c>
      <c r="B81" s="4">
        <v>42735</v>
      </c>
      <c r="C81" s="4">
        <v>43100</v>
      </c>
      <c r="D81" s="4">
        <v>43465</v>
      </c>
      <c r="E81" s="4">
        <v>43830</v>
      </c>
      <c r="F81" s="4">
        <v>44196</v>
      </c>
      <c r="G81" s="4">
        <v>44561</v>
      </c>
      <c r="H81" s="4">
        <v>44926</v>
      </c>
      <c r="I81" s="4">
        <v>45291</v>
      </c>
      <c r="J81" s="4">
        <v>45657</v>
      </c>
      <c r="K81" s="4">
        <v>46022</v>
      </c>
    </row>
    <row r="82" spans="1:11" s="5" customFormat="1" x14ac:dyDescent="0.3">
      <c r="A82" s="9" t="s">
        <v>72</v>
      </c>
      <c r="B82">
        <v>825.78</v>
      </c>
      <c r="C82">
        <v>619.76</v>
      </c>
      <c r="D82">
        <v>999.78</v>
      </c>
      <c r="E82">
        <v>1307.5999999999999</v>
      </c>
      <c r="F82">
        <v>1011.99</v>
      </c>
      <c r="G82">
        <v>1231.42</v>
      </c>
      <c r="H82">
        <v>1790.03</v>
      </c>
      <c r="I82">
        <v>2390.7800000000002</v>
      </c>
      <c r="J82">
        <v>3381.1</v>
      </c>
      <c r="K82">
        <v>3509.31</v>
      </c>
    </row>
    <row r="83" spans="1:11" s="9" customFormat="1" x14ac:dyDescent="0.3">
      <c r="A83" s="9" t="s">
        <v>73</v>
      </c>
      <c r="B83">
        <v>-1047.8</v>
      </c>
      <c r="C83">
        <v>-745.95</v>
      </c>
      <c r="D83">
        <v>-937.4</v>
      </c>
      <c r="E83">
        <v>-2319.9</v>
      </c>
      <c r="F83">
        <v>-471.68</v>
      </c>
      <c r="G83">
        <v>-1007.55</v>
      </c>
      <c r="H83">
        <v>-1768.51</v>
      </c>
      <c r="I83">
        <v>-3287.8</v>
      </c>
      <c r="J83">
        <v>-4310.5600000000004</v>
      </c>
      <c r="K83">
        <v>-2724.96</v>
      </c>
    </row>
    <row r="84" spans="1:11" s="9" customFormat="1" x14ac:dyDescent="0.3">
      <c r="A84" s="9" t="s">
        <v>74</v>
      </c>
      <c r="B84">
        <v>230.23</v>
      </c>
      <c r="C84">
        <v>158.63</v>
      </c>
      <c r="D84">
        <v>-84.39</v>
      </c>
      <c r="E84">
        <v>1107.3399999999999</v>
      </c>
      <c r="F84">
        <v>-573.72</v>
      </c>
      <c r="G84">
        <v>-177.68</v>
      </c>
      <c r="H84">
        <v>-17.940000000000001</v>
      </c>
      <c r="I84">
        <v>984.9</v>
      </c>
      <c r="J84">
        <v>2953.54</v>
      </c>
      <c r="K84">
        <v>-1266.47</v>
      </c>
    </row>
    <row r="85" spans="1:11" s="5" customFormat="1" x14ac:dyDescent="0.3">
      <c r="A85" s="9" t="s">
        <v>75</v>
      </c>
      <c r="B85">
        <v>8.2100000000000009</v>
      </c>
      <c r="C85">
        <v>32.450000000000003</v>
      </c>
      <c r="D85">
        <v>-22.01</v>
      </c>
      <c r="E85">
        <v>95.03</v>
      </c>
      <c r="F85">
        <v>-33.409999999999997</v>
      </c>
      <c r="G85">
        <v>46.19</v>
      </c>
      <c r="H85">
        <v>3.58</v>
      </c>
      <c r="I85">
        <v>87.88</v>
      </c>
      <c r="J85">
        <v>2024.07</v>
      </c>
      <c r="K85">
        <v>-482.11</v>
      </c>
    </row>
    <row r="86" spans="1:11" x14ac:dyDescent="0.3">
      <c r="A86" s="9"/>
    </row>
    <row r="87" spans="1:11" x14ac:dyDescent="0.3">
      <c r="A87" s="9"/>
    </row>
    <row r="88" spans="1:11" x14ac:dyDescent="0.3">
      <c r="A88" s="9"/>
    </row>
    <row r="89" spans="1:11" x14ac:dyDescent="0.3">
      <c r="A89" s="9"/>
    </row>
    <row r="90" spans="1:11" s="5" customFormat="1" x14ac:dyDescent="0.3">
      <c r="A90" s="5" t="s">
        <v>76</v>
      </c>
      <c r="B90">
        <v>22.55</v>
      </c>
      <c r="C90">
        <v>38.71</v>
      </c>
      <c r="D90">
        <v>46.49</v>
      </c>
      <c r="E90">
        <v>62.99</v>
      </c>
      <c r="F90">
        <v>81.430000000000007</v>
      </c>
      <c r="G90">
        <v>118.44</v>
      </c>
      <c r="H90">
        <v>264.51</v>
      </c>
      <c r="I90">
        <v>494.76</v>
      </c>
      <c r="J90">
        <v>638.5</v>
      </c>
      <c r="K90">
        <v>489.85</v>
      </c>
    </row>
    <row r="92" spans="1:11" s="5" customFormat="1" x14ac:dyDescent="0.3">
      <c r="A92" s="5" t="s">
        <v>77</v>
      </c>
    </row>
    <row r="93" spans="1:11" x14ac:dyDescent="0.3">
      <c r="A93" s="6" t="s">
        <v>78</v>
      </c>
      <c r="B93" s="10">
        <v>307.67</v>
      </c>
      <c r="C93" s="10">
        <v>308.14999999999998</v>
      </c>
      <c r="D93" s="10">
        <v>308.20999999999998</v>
      </c>
      <c r="E93" s="10">
        <v>324.77</v>
      </c>
      <c r="F93" s="10">
        <v>324.77</v>
      </c>
      <c r="G93" s="10">
        <v>324.77999999999997</v>
      </c>
      <c r="H93" s="10">
        <v>324.77999999999997</v>
      </c>
      <c r="I93" s="10">
        <v>324.8</v>
      </c>
      <c r="J93" s="10">
        <v>338.15</v>
      </c>
      <c r="K93" s="10">
        <v>338.2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D562CE9F-CDBC-452D-9E07-9B289D0F84F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 </vt:lpstr>
      <vt:lpstr>Dashboard </vt:lpstr>
      <vt:lpstr>Ratio Analysis</vt:lpstr>
      <vt:lpstr>Assumptions</vt:lpstr>
      <vt:lpstr>Calculations </vt:lpstr>
      <vt:lpstr>Raw Data </vt:lpstr>
      <vt:lpstr>Data Sheet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 valechha</dc:creator>
  <cp:lastModifiedBy>dev valechha</cp:lastModifiedBy>
  <dcterms:created xsi:type="dcterms:W3CDTF">2026-08-10T07:52:33Z</dcterms:created>
  <dcterms:modified xsi:type="dcterms:W3CDTF">2026-08-12T15:24:18Z</dcterms:modified>
</cp:coreProperties>
</file>